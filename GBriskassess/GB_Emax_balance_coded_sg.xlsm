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8705" codeName="{B7FE6334-C1A2-E50D-BD3D-5F4D41BBC2E3}"/>
  <workbookPr codeName="ThisWorkbook" autoCompressPictures="0"/>
  <bookViews>
    <workbookView xWindow="240" yWindow="240" windowWidth="25360" windowHeight="14560" tabRatio="753" activeTab="9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" sheetId="81" r:id="rId7"/>
    <sheet name="Stanzas" sheetId="82" r:id="rId8"/>
    <sheet name="MainOutputs" sheetId="83" r:id="rId9"/>
    <sheet name="Mortalities" sheetId="84" r:id="rId10"/>
  </sheets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Pedigree!$H$1</definedName>
    <definedName name="cornerPedigree">Pedigree!$A$1</definedName>
    <definedName name="FishingLinks">Main!$B$8</definedName>
    <definedName name="matBasic">Main!$C$2:$N$32</definedName>
    <definedName name="matDetritus">Detritus!$C$2:$E$32</definedName>
    <definedName name="matDiet">Diets!$B$2:$AC$32</definedName>
    <definedName name="matDiscards">Discards!$C$2:$C$31</definedName>
    <definedName name="matFishery">Fishing!$C$2:$C$31</definedName>
    <definedName name="matFishing">Fishing!$C$4:$C$135</definedName>
    <definedName name="matMort">Mortalities!$A$1:$AH$31</definedName>
    <definedName name="matOut">MainOutputs!$A$2:$I$32</definedName>
    <definedName name="matPedcat">Pedigree!$I$2:$K$51</definedName>
    <definedName name="matPedigree">Pedigree!$C$2:$G$24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" i="75" l="1"/>
  <c r="B8" i="75"/>
</calcChain>
</file>

<file path=xl/sharedStrings.xml><?xml version="1.0" encoding="utf-8"?>
<sst xmlns="http://schemas.openxmlformats.org/spreadsheetml/2006/main" count="381" uniqueCount="100">
  <si>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</si>
  <si>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</si>
  <si>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</si>
  <si>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</si>
  <si>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</si>
  <si>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</si>
  <si>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</si>
  <si>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</si>
  <si>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</si>
  <si>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Cat</t>
  </si>
  <si>
    <t>Exported</t>
  </si>
  <si>
    <t>Number of living</t>
  </si>
  <si>
    <t>Number of detritus</t>
  </si>
  <si>
    <t>Number of gear</t>
  </si>
  <si>
    <t>TOTAL</t>
  </si>
  <si>
    <t xml:space="preserve">  </t>
  </si>
  <si>
    <t>TL</t>
  </si>
  <si>
    <t>Biomass</t>
  </si>
  <si>
    <t>EE</t>
  </si>
  <si>
    <t>Mortalities</t>
  </si>
  <si>
    <t>M0</t>
  </si>
  <si>
    <t>B</t>
  </si>
  <si>
    <t>Main data entry sheets are the pink worksheets, should be self explanatory</t>
  </si>
  <si>
    <t>July 16 2010</t>
  </si>
  <si>
    <t>Diet</t>
  </si>
  <si>
    <t>Note: the model used here is GOAEcopath_CGOAforGLOBEC.xls which converts to CGOA_GLOBEC_Tmagg.evv with the pedigree included and was used to run CGOAsense Crabsims in July 2010 with the stanzas_in params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</si>
  <si>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</si>
  <si>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</si>
  <si>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</si>
  <si>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</si>
  <si>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</si>
  <si>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</si>
  <si>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</si>
  <si>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Data sheet required for balance</t>
  </si>
  <si>
    <t>Data sheet required for Ecosim (post-balance)</t>
  </si>
  <si>
    <t>Ecopath output sheet</t>
  </si>
  <si>
    <t xml:space="preserve">Example spreadsheet for data entry to do path calculations and create an evv file </t>
  </si>
  <si>
    <t>NUM</t>
  </si>
  <si>
    <t>GE</t>
  </si>
  <si>
    <t>Parameter</t>
  </si>
  <si>
    <t>cv</t>
  </si>
  <si>
    <t>Criterion</t>
  </si>
  <si>
    <t>Pnum</t>
  </si>
  <si>
    <t>PredPreyLinks</t>
  </si>
  <si>
    <t>FishingLinks</t>
  </si>
  <si>
    <t>fishery</t>
  </si>
  <si>
    <t>Microzooplankton</t>
  </si>
  <si>
    <t>Phytoplankton - Primary Producers</t>
  </si>
  <si>
    <t>Bacteria</t>
  </si>
  <si>
    <t>Small Copepods</t>
  </si>
  <si>
    <t>Large Copepods</t>
  </si>
  <si>
    <t>Gelatinous Zooplankton</t>
  </si>
  <si>
    <t>Micronekton</t>
  </si>
  <si>
    <t>Mesopelagics</t>
  </si>
  <si>
    <t>Macrobenthos - polychaetes</t>
  </si>
  <si>
    <t>Macrobenthos - crustaceans</t>
  </si>
  <si>
    <t>Macrobenthos - molluscs</t>
  </si>
  <si>
    <t>Macrobenthos - other</t>
  </si>
  <si>
    <t>Megabenthos - filterers</t>
  </si>
  <si>
    <t>Megabenthos - other</t>
  </si>
  <si>
    <t>Shrimp et al.</t>
  </si>
  <si>
    <t>Larval and Juvenile Fish - all</t>
  </si>
  <si>
    <t>Small Pelagics - commercial</t>
  </si>
  <si>
    <t>Small Pelagics - other</t>
  </si>
  <si>
    <t>Small Pelagics - squid</t>
  </si>
  <si>
    <t>Small Pelagics - anadromous</t>
  </si>
  <si>
    <t>Medium Pelagics - piscivores &amp; other</t>
  </si>
  <si>
    <t>Demersals - benthivores</t>
  </si>
  <si>
    <t>Demersals - omnivores</t>
  </si>
  <si>
    <t>Demersals - piscivores</t>
  </si>
  <si>
    <t>Sharks - coastal</t>
  </si>
  <si>
    <t>Sharks - pelagics</t>
  </si>
  <si>
    <t>Highly Migratory Species</t>
  </si>
  <si>
    <t>Baleen Whales</t>
  </si>
  <si>
    <t>Odontocetes</t>
  </si>
  <si>
    <t>Sea Birds</t>
  </si>
  <si>
    <t>Discards</t>
  </si>
  <si>
    <t>Detritus - POC</t>
  </si>
  <si>
    <t>Phytoplankton- Primary Producers</t>
  </si>
  <si>
    <t>Small copepods</t>
  </si>
  <si>
    <t>Macrobenthos- polychaetes</t>
  </si>
  <si>
    <t>Macrobenthos- crustaceans</t>
  </si>
  <si>
    <t>Macrobenthos- molluscs</t>
  </si>
  <si>
    <t>Macrobenthos- other</t>
  </si>
  <si>
    <t>Megabenthos- filterers</t>
  </si>
  <si>
    <t>Megabenthos- other</t>
  </si>
  <si>
    <t>Larval-juv fish- all</t>
  </si>
  <si>
    <t>Small Pelagics- commercial</t>
  </si>
  <si>
    <t>Small Pelagics- other</t>
  </si>
  <si>
    <t>Small Pelagics- squid</t>
  </si>
  <si>
    <t>Small Pelagics- anadromous</t>
  </si>
  <si>
    <t>Medium Pelagics- (piscivores &amp; other)</t>
  </si>
  <si>
    <t>Demersals- benthivores</t>
  </si>
  <si>
    <t>Demersals- omnivores</t>
  </si>
  <si>
    <t>Demersals- piscivores</t>
  </si>
  <si>
    <t>Sharks- pelagics</t>
  </si>
  <si>
    <t>Detritus-POC</t>
  </si>
  <si>
    <t>HMS</t>
  </si>
  <si>
    <t>Discard</t>
  </si>
  <si>
    <t>F Detritus-POC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</si>
</sst>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138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9BFF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FF76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FF9D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D6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95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FFFD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8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1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5" fontId="0" fillId="0" borderId="0" xfId="0" applyNumberFormat="1"/>
    <xf numFmtId="0" fontId="1" fillId="4" borderId="0" xfId="0" applyFont="1" applyFill="1"/>
    <xf numFmtId="0" fontId="1" fillId="4" borderId="0" xfId="0" applyFont="1" applyFill="1" applyAlignment="1">
      <alignment wrapText="1"/>
    </xf>
    <xf numFmtId="0" fontId="1" fillId="6" borderId="0" xfId="0" applyFont="1" applyFill="1"/>
    <xf numFmtId="11" fontId="0" fillId="0" borderId="0" xfId="0" applyNumberFormat="1"/>
    <xf numFmtId="0" fontId="3" fillId="0" borderId="0" xfId="0" applyFont="1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2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" fillId="0" borderId="0" xfId="0" applyFont="1" applyFill="1" applyBorder="1"/>
    <xf numFmtId="0" fontId="0" fillId="0" borderId="0" xfId="0" applyFill="1" applyBorder="1"/>
    <xf numFmtId="1" fontId="0" fillId="0" borderId="0" xfId="0" applyNumberFormat="1" applyFill="1" applyBorder="1" applyAlignment="1">
      <alignment horizontal="center"/>
    </xf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0" borderId="0" xfId="0" applyFill="1" applyAlignment="1">
      <alignment wrapText="1"/>
    </xf>
    <xf numFmtId="0" fontId="0" fillId="32" borderId="0" xfId="0" applyFill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Border="1"/>
    <xf numFmtId="0" fontId="3" fillId="0" borderId="0" xfId="0" applyFont="1" applyFill="1" applyAlignment="1">
      <alignment horizontal="center"/>
    </xf>
    <xf numFmtId="11" fontId="3" fillId="0" borderId="0" xfId="0" applyNumberFormat="1" applyFont="1" applyFill="1" applyAlignment="1">
      <alignment horizontal="center"/>
    </xf>
    <xf numFmtId="0" fontId="0" fillId="7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Relationship Id="rId2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142875</xdr:rowOff>
    </xdr:from>
    <xdr:to>
      <xdr:col>13</xdr:col>
      <xdr:colOff>47625</xdr:colOff>
      <xdr:row>35</xdr:row>
      <xdr:rowOff>0</xdr:rowOff>
    </xdr:to>
    <xdr:pic>
      <xdr:nvPicPr>
        <xdr:cNvPr id="17500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200" y="1276350"/>
          <a:ext cx="6753225" cy="439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9</xdr:row>
      <xdr:rowOff>88900</xdr:rowOff>
    </xdr:from>
    <xdr:to>
      <xdr:col>1</xdr:col>
      <xdr:colOff>88900</xdr:colOff>
      <xdr:row>15</xdr:row>
      <xdr:rowOff>203200</xdr:rowOff>
    </xdr:to>
    <xdr:pic>
      <xdr:nvPicPr>
        <xdr:cNvPr id="5123" name="BalanceButton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460500"/>
          <a:ext cx="1384300" cy="977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698500</xdr:colOff>
      <xdr:row>8</xdr:row>
      <xdr:rowOff>0</xdr:rowOff>
    </xdr:from>
    <xdr:to>
      <xdr:col>11</xdr:col>
      <xdr:colOff>749300</xdr:colOff>
      <xdr:row>13</xdr:row>
      <xdr:rowOff>76200</xdr:rowOff>
    </xdr:to>
    <xdr:pic>
      <xdr:nvPicPr>
        <xdr:cNvPr id="19459" name="comEvv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1219200"/>
          <a:ext cx="1257300" cy="8382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622300</xdr:colOff>
      <xdr:row>1</xdr:row>
      <xdr:rowOff>152400</xdr:rowOff>
    </xdr:from>
    <xdr:to>
      <xdr:col>11</xdr:col>
      <xdr:colOff>673100</xdr:colOff>
      <xdr:row>7</xdr:row>
      <xdr:rowOff>12700</xdr:rowOff>
    </xdr:to>
    <xdr:pic>
      <xdr:nvPicPr>
        <xdr:cNvPr id="19460" name="comCexport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42300" y="304800"/>
          <a:ext cx="1308100" cy="774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8"/>
  </sheetPr>
  <dimension ref="A1:F45"/>
  <sheetViews>
    <sheetView workbookViewId="0">
      <selection activeCell="N6" sqref="N6"/>
    </sheetView>
  </sheetViews>
  <sheetFormatPr baseColWidth="10" defaultColWidth="8.83203125" defaultRowHeight="12" x14ac:dyDescent="0"/>
  <sheetData>
    <row r="1" spans="1:6">
      <c r="A1" s="13" t="s">
        <v>23</v>
      </c>
    </row>
    <row r="2" spans="1:6">
      <c r="B2" t="s">
        <v>36</v>
      </c>
    </row>
    <row r="4" spans="1:6">
      <c r="B4" t="s">
        <v>22</v>
      </c>
    </row>
    <row r="5" spans="1:6">
      <c r="C5" s="16" t="s">
        <v>33</v>
      </c>
      <c r="D5" s="9"/>
      <c r="E5" s="9"/>
      <c r="F5" s="9"/>
    </row>
    <row r="6" spans="1:6">
      <c r="C6" s="6" t="s">
        <v>34</v>
      </c>
      <c r="D6" s="6"/>
      <c r="E6" s="6"/>
      <c r="F6" s="6"/>
    </row>
    <row r="7" spans="1:6">
      <c r="C7" s="5" t="s">
        <v>35</v>
      </c>
      <c r="D7" s="5"/>
      <c r="E7" s="5"/>
      <c r="F7" s="5"/>
    </row>
    <row r="9" spans="1:6">
      <c r="B9" s="4"/>
    </row>
    <row r="10" spans="1:6">
      <c r="C10" s="4"/>
    </row>
    <row r="11" spans="1:6">
      <c r="C11" s="4"/>
    </row>
    <row r="45" spans="1:1">
      <c r="A45" t="s">
        <v>25</v>
      </c>
    </row>
  </sheetData>
  <phoneticPr fontId="2" type="noConversion"/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45"/>
  </sheetPr>
  <dimension ref="A1:O68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baseColWidth="10" defaultColWidth="8.83203125" defaultRowHeight="12" x14ac:dyDescent="0"/>
  <cols>
    <col min="1" max="1" width="22.5" style="2" customWidth="1"/>
    <col min="2" max="2" width="7.6640625" style="2" customWidth="1"/>
    <col min="3" max="3" width="8.83203125" style="2"/>
    <col min="4" max="4" width="7.6640625" style="18" customWidth="1"/>
    <col min="5" max="5" width="21.6640625" style="18" customWidth="1"/>
    <col min="6" max="6" width="9.5" style="63" bestFit="1" customWidth="1"/>
    <col min="7" max="7" width="9.5" style="63" customWidth="1"/>
    <col min="8" max="14" width="8.83203125" style="63"/>
    <col min="15" max="16384" width="8.83203125" style="2"/>
  </cols>
  <sheetData>
    <row r="1" spans="1:15">
      <c r="A1" s="1" t="s">
        <v>26</v>
      </c>
      <c r="C1" s="14" t="s">
        <v>8</v>
      </c>
      <c r="D1" s="19" t="s">
        <v>31</v>
      </c>
      <c r="E1" s="19" t="s">
        <v>0</v>
      </c>
      <c r="F1" s="20" t="s">
        <v>7</v>
      </c>
      <c r="G1" s="20" t="s">
        <v>17</v>
      </c>
      <c r="H1" s="20" t="s">
        <v>1</v>
      </c>
      <c r="I1" s="20" t="s">
        <v>2</v>
      </c>
      <c r="J1" s="20" t="s">
        <v>18</v>
      </c>
      <c r="K1" s="20" t="s">
        <v>3</v>
      </c>
      <c r="L1" s="20" t="s">
        <v>4</v>
      </c>
      <c r="M1" s="20" t="s">
        <v>5</v>
      </c>
      <c r="N1" s="20" t="s">
        <v>6</v>
      </c>
      <c r="O1" s="1"/>
    </row>
    <row r="2" spans="1:15">
      <c r="C2" s="2">
        <v>1</v>
      </c>
      <c r="E2" t="s">
        <v>78</v>
      </c>
      <c r="F2" s="61">
        <v>1</v>
      </c>
      <c r="G2">
        <v>25.704999999999998</v>
      </c>
      <c r="H2">
        <v>166.13399999999999</v>
      </c>
      <c r="I2"/>
      <c r="J2" s="62"/>
      <c r="K2" s="62"/>
      <c r="L2" s="61"/>
      <c r="M2"/>
      <c r="N2" s="62"/>
    </row>
    <row r="3" spans="1:15">
      <c r="A3" s="1" t="s">
        <v>11</v>
      </c>
      <c r="B3" s="14">
        <v>28</v>
      </c>
      <c r="C3" s="2">
        <v>2</v>
      </c>
      <c r="E3" t="s">
        <v>48</v>
      </c>
      <c r="F3" s="61">
        <v>0</v>
      </c>
      <c r="G3">
        <v>6.5179999999999998</v>
      </c>
      <c r="H3">
        <v>91.25</v>
      </c>
      <c r="I3">
        <v>380.20800000000003</v>
      </c>
      <c r="J3" s="62"/>
      <c r="K3" s="62"/>
      <c r="L3" s="61"/>
      <c r="M3">
        <v>0.2</v>
      </c>
      <c r="N3" s="62"/>
    </row>
    <row r="4" spans="1:15">
      <c r="A4" s="1" t="s">
        <v>12</v>
      </c>
      <c r="B4" s="14">
        <v>2</v>
      </c>
      <c r="C4" s="2">
        <v>3</v>
      </c>
      <c r="E4" t="s">
        <v>46</v>
      </c>
      <c r="F4" s="61">
        <v>0</v>
      </c>
      <c r="G4">
        <v>5.5880000000000001</v>
      </c>
      <c r="H4">
        <v>72</v>
      </c>
      <c r="I4">
        <v>242.42400000000001</v>
      </c>
      <c r="J4" s="62"/>
      <c r="K4" s="62"/>
      <c r="L4" s="61"/>
      <c r="M4">
        <v>0.1</v>
      </c>
      <c r="N4" s="62"/>
    </row>
    <row r="5" spans="1:15">
      <c r="A5" s="1" t="s">
        <v>13</v>
      </c>
      <c r="B5" s="14">
        <v>1</v>
      </c>
      <c r="C5" s="2">
        <v>4</v>
      </c>
      <c r="E5" t="s">
        <v>79</v>
      </c>
      <c r="F5" s="61">
        <v>0</v>
      </c>
      <c r="G5">
        <v>12.984999999999999</v>
      </c>
      <c r="H5">
        <v>41.664999999999999</v>
      </c>
      <c r="I5">
        <v>127.75</v>
      </c>
      <c r="J5" s="62"/>
      <c r="K5" s="62"/>
      <c r="L5" s="61"/>
      <c r="M5">
        <v>0.25</v>
      </c>
      <c r="N5" s="62"/>
    </row>
    <row r="6" spans="1:15">
      <c r="B6" s="1"/>
      <c r="C6" s="2">
        <v>5</v>
      </c>
      <c r="E6" t="s">
        <v>50</v>
      </c>
      <c r="F6" s="61">
        <v>0</v>
      </c>
      <c r="G6">
        <v>6.9809999999999999</v>
      </c>
      <c r="H6">
        <v>54.636000000000003</v>
      </c>
      <c r="I6">
        <v>109.5</v>
      </c>
      <c r="J6" s="62"/>
      <c r="K6" s="62"/>
      <c r="L6" s="61"/>
      <c r="M6">
        <v>0.25</v>
      </c>
      <c r="N6" s="62"/>
    </row>
    <row r="7" spans="1:15">
      <c r="A7" s="3" t="s">
        <v>43</v>
      </c>
      <c r="B7" s="2">
        <f ca="1">COUNTIF(OFFSET(cornerDiets,1,1,NumLiving+NumDead+1,NumLiving+NumDead),"&gt;0")+NumLiving+NumDead+1</f>
        <v>321</v>
      </c>
      <c r="C7" s="2">
        <v>6</v>
      </c>
      <c r="E7" t="s">
        <v>51</v>
      </c>
      <c r="F7" s="61">
        <v>0</v>
      </c>
      <c r="G7">
        <v>1.319</v>
      </c>
      <c r="H7">
        <v>40</v>
      </c>
      <c r="I7">
        <v>143.08000000000001</v>
      </c>
      <c r="J7" s="62"/>
      <c r="K7" s="62"/>
      <c r="L7" s="61"/>
      <c r="M7">
        <v>0.35</v>
      </c>
      <c r="N7" s="62"/>
    </row>
    <row r="8" spans="1:15">
      <c r="A8" s="3" t="s">
        <v>44</v>
      </c>
      <c r="B8" s="2">
        <f ca="1">COUNTIF(OFFSET(cornerFishing,1,2,NumLiving+NumDead,NumGears),"&gt;0")+NumDead*COUNTIF(OFFSET(cornerDiscards,1,2,NumLiving+NumDead,NumGears),"&gt;0")+NumLiving+NumDead+1</f>
        <v>74</v>
      </c>
      <c r="C8" s="2">
        <v>7</v>
      </c>
      <c r="E8" t="s">
        <v>52</v>
      </c>
      <c r="F8" s="61">
        <v>0</v>
      </c>
      <c r="G8">
        <v>3.8050000000000002</v>
      </c>
      <c r="H8">
        <v>14.25</v>
      </c>
      <c r="I8">
        <v>36.5</v>
      </c>
      <c r="J8" s="62"/>
      <c r="K8" s="62"/>
      <c r="L8" s="61"/>
      <c r="M8">
        <v>0.25</v>
      </c>
      <c r="N8" s="62"/>
    </row>
    <row r="9" spans="1:15">
      <c r="B9" s="1"/>
      <c r="C9" s="2">
        <v>8</v>
      </c>
      <c r="E9" t="s">
        <v>53</v>
      </c>
      <c r="F9" s="61">
        <v>0</v>
      </c>
      <c r="G9">
        <v>4.4999999999999998E-2</v>
      </c>
      <c r="H9">
        <v>0.95</v>
      </c>
      <c r="I9">
        <v>1.825</v>
      </c>
      <c r="J9" s="62"/>
      <c r="K9" s="62"/>
      <c r="L9" s="61"/>
      <c r="M9">
        <v>0.15</v>
      </c>
      <c r="N9" s="62"/>
    </row>
    <row r="10" spans="1:15">
      <c r="B10" s="1"/>
      <c r="C10" s="2">
        <v>9</v>
      </c>
      <c r="E10" t="s">
        <v>80</v>
      </c>
      <c r="F10" s="61">
        <v>0</v>
      </c>
      <c r="G10">
        <v>11.403</v>
      </c>
      <c r="H10">
        <v>2.5</v>
      </c>
      <c r="I10">
        <v>17.5</v>
      </c>
      <c r="J10" s="62"/>
      <c r="K10" s="62"/>
      <c r="L10" s="61"/>
      <c r="M10">
        <v>0.5</v>
      </c>
      <c r="N10" s="62"/>
    </row>
    <row r="11" spans="1:15">
      <c r="C11" s="2">
        <v>10</v>
      </c>
      <c r="E11" t="s">
        <v>81</v>
      </c>
      <c r="F11" s="61">
        <v>0</v>
      </c>
      <c r="G11">
        <v>10.874000000000001</v>
      </c>
      <c r="H11">
        <v>3</v>
      </c>
      <c r="I11">
        <v>21</v>
      </c>
      <c r="J11" s="62"/>
      <c r="K11" s="62"/>
      <c r="L11" s="61"/>
      <c r="M11">
        <v>0.5</v>
      </c>
      <c r="N11" s="62"/>
    </row>
    <row r="12" spans="1:15">
      <c r="C12" s="2">
        <v>11</v>
      </c>
      <c r="E12" t="s">
        <v>82</v>
      </c>
      <c r="F12" s="61">
        <v>0</v>
      </c>
      <c r="G12">
        <v>9.8870000000000005</v>
      </c>
      <c r="H12">
        <v>2</v>
      </c>
      <c r="I12">
        <v>14</v>
      </c>
      <c r="J12" s="62"/>
      <c r="K12" s="62"/>
      <c r="L12" s="61"/>
      <c r="M12">
        <v>0.6</v>
      </c>
      <c r="N12" s="62"/>
    </row>
    <row r="13" spans="1:15">
      <c r="C13" s="2">
        <v>12</v>
      </c>
      <c r="E13" t="s">
        <v>83</v>
      </c>
      <c r="F13" s="61">
        <v>0</v>
      </c>
      <c r="G13">
        <v>40.023000000000003</v>
      </c>
      <c r="H13">
        <v>2</v>
      </c>
      <c r="I13">
        <v>17.64</v>
      </c>
      <c r="J13" s="62"/>
      <c r="K13" s="62"/>
      <c r="L13" s="61"/>
      <c r="M13">
        <v>0.5</v>
      </c>
      <c r="N13" s="62"/>
    </row>
    <row r="14" spans="1:15">
      <c r="C14" s="2">
        <v>13</v>
      </c>
      <c r="E14" t="s">
        <v>84</v>
      </c>
      <c r="F14" s="61">
        <v>0</v>
      </c>
      <c r="G14">
        <v>3.6139999999999999</v>
      </c>
      <c r="H14" s="4">
        <v>5</v>
      </c>
      <c r="I14">
        <v>18</v>
      </c>
      <c r="J14" s="62"/>
      <c r="K14" s="62"/>
      <c r="L14" s="61"/>
      <c r="M14">
        <v>0.7</v>
      </c>
      <c r="N14" s="62"/>
    </row>
    <row r="15" spans="1:15">
      <c r="C15" s="2">
        <v>14</v>
      </c>
      <c r="E15" t="s">
        <v>85</v>
      </c>
      <c r="F15" s="61">
        <v>0</v>
      </c>
      <c r="G15">
        <v>3.9649999999999999</v>
      </c>
      <c r="H15">
        <v>2</v>
      </c>
      <c r="I15">
        <v>18</v>
      </c>
      <c r="J15" s="62"/>
      <c r="K15" s="62"/>
      <c r="L15" s="61"/>
      <c r="M15">
        <v>0.3</v>
      </c>
      <c r="N15" s="62"/>
    </row>
    <row r="16" spans="1:15">
      <c r="C16" s="2">
        <v>15</v>
      </c>
      <c r="E16" t="s">
        <v>60</v>
      </c>
      <c r="F16" s="61">
        <v>0</v>
      </c>
      <c r="G16">
        <v>0.09</v>
      </c>
      <c r="H16">
        <v>2</v>
      </c>
      <c r="I16">
        <v>5</v>
      </c>
      <c r="J16" s="62"/>
      <c r="K16" s="62"/>
      <c r="L16" s="61"/>
      <c r="M16">
        <v>0.3</v>
      </c>
      <c r="N16" s="62"/>
    </row>
    <row r="17" spans="2:14">
      <c r="C17" s="2">
        <v>16</v>
      </c>
      <c r="E17" t="s">
        <v>86</v>
      </c>
      <c r="F17" s="61">
        <v>0</v>
      </c>
      <c r="G17">
        <v>0.629</v>
      </c>
      <c r="H17">
        <v>15</v>
      </c>
      <c r="I17">
        <v>45</v>
      </c>
      <c r="J17" s="62"/>
      <c r="K17" s="62"/>
      <c r="L17" s="61"/>
      <c r="M17">
        <v>0.15</v>
      </c>
      <c r="N17" s="62"/>
    </row>
    <row r="18" spans="2:14">
      <c r="C18" s="2">
        <v>17</v>
      </c>
      <c r="E18" t="s">
        <v>87</v>
      </c>
      <c r="F18" s="61">
        <v>0</v>
      </c>
      <c r="G18">
        <v>14.977</v>
      </c>
      <c r="H18">
        <v>0.34499999999999997</v>
      </c>
      <c r="I18">
        <v>2</v>
      </c>
      <c r="J18" s="62"/>
      <c r="K18" s="62"/>
      <c r="L18" s="61"/>
      <c r="M18">
        <v>0.15</v>
      </c>
      <c r="N18" s="62"/>
    </row>
    <row r="19" spans="2:14">
      <c r="C19" s="2">
        <v>18</v>
      </c>
      <c r="E19" t="s">
        <v>88</v>
      </c>
      <c r="F19" s="61">
        <v>0</v>
      </c>
      <c r="G19">
        <v>1.0740000000000001</v>
      </c>
      <c r="H19">
        <v>0.95699999999999996</v>
      </c>
      <c r="I19">
        <v>2</v>
      </c>
      <c r="J19" s="62"/>
      <c r="K19" s="62"/>
      <c r="L19" s="61"/>
      <c r="M19">
        <v>0.35</v>
      </c>
      <c r="N19" s="62"/>
    </row>
    <row r="20" spans="2:14">
      <c r="C20" s="2">
        <v>19</v>
      </c>
      <c r="E20" t="s">
        <v>89</v>
      </c>
      <c r="F20" s="61">
        <v>0</v>
      </c>
      <c r="G20">
        <v>1.262</v>
      </c>
      <c r="H20">
        <v>0.95</v>
      </c>
      <c r="I20">
        <v>2.75</v>
      </c>
      <c r="J20" s="62"/>
      <c r="K20" s="62"/>
      <c r="L20" s="61"/>
      <c r="M20">
        <v>0.15</v>
      </c>
      <c r="N20" s="62"/>
    </row>
    <row r="21" spans="2:14">
      <c r="C21" s="2">
        <v>20</v>
      </c>
      <c r="E21" t="s">
        <v>90</v>
      </c>
      <c r="F21" s="61">
        <v>0</v>
      </c>
      <c r="G21">
        <v>0.25</v>
      </c>
      <c r="H21">
        <v>0.42499999999999999</v>
      </c>
      <c r="I21">
        <v>2</v>
      </c>
      <c r="J21" s="62"/>
      <c r="K21" s="62"/>
      <c r="L21" s="61"/>
      <c r="M21">
        <v>0.15</v>
      </c>
      <c r="N21" s="62"/>
    </row>
    <row r="22" spans="2:14">
      <c r="C22" s="2">
        <v>21</v>
      </c>
      <c r="E22" t="s">
        <v>91</v>
      </c>
      <c r="F22" s="61">
        <v>0</v>
      </c>
      <c r="G22">
        <v>0.29199999999999998</v>
      </c>
      <c r="H22">
        <v>0.45900000000000002</v>
      </c>
      <c r="I22">
        <v>2.3809999999999998</v>
      </c>
      <c r="J22" s="62"/>
      <c r="K22" s="62"/>
      <c r="L22" s="61"/>
      <c r="M22">
        <v>0.15</v>
      </c>
      <c r="N22" s="62"/>
    </row>
    <row r="23" spans="2:14">
      <c r="C23" s="2">
        <v>22</v>
      </c>
      <c r="E23" t="s">
        <v>92</v>
      </c>
      <c r="F23" s="61">
        <v>0</v>
      </c>
      <c r="G23">
        <v>4.5759999999999996</v>
      </c>
      <c r="H23">
        <v>0.45</v>
      </c>
      <c r="I23">
        <v>0.92</v>
      </c>
      <c r="J23" s="62"/>
      <c r="K23" s="62"/>
      <c r="L23" s="61"/>
      <c r="M23">
        <v>0.3</v>
      </c>
      <c r="N23" s="62"/>
    </row>
    <row r="24" spans="2:14">
      <c r="B24" s="2" t="s">
        <v>15</v>
      </c>
      <c r="C24" s="2">
        <v>23</v>
      </c>
      <c r="E24" t="s">
        <v>93</v>
      </c>
      <c r="F24" s="61">
        <v>0</v>
      </c>
      <c r="G24">
        <v>3.4390000000000001</v>
      </c>
      <c r="H24">
        <v>0.45</v>
      </c>
      <c r="I24">
        <v>0.83</v>
      </c>
      <c r="J24" s="62"/>
      <c r="K24" s="62"/>
      <c r="L24" s="61"/>
      <c r="M24">
        <v>0.35</v>
      </c>
      <c r="N24" s="62"/>
    </row>
    <row r="25" spans="2:14">
      <c r="C25" s="2">
        <v>24</v>
      </c>
      <c r="E25" t="s">
        <v>94</v>
      </c>
      <c r="F25" s="61">
        <v>0</v>
      </c>
      <c r="G25">
        <v>2.2450000000000001</v>
      </c>
      <c r="H25">
        <v>0.48599999999999999</v>
      </c>
      <c r="I25">
        <v>2.206</v>
      </c>
      <c r="J25" s="61"/>
      <c r="K25" s="62"/>
      <c r="L25" s="61"/>
      <c r="M25">
        <v>0.15</v>
      </c>
      <c r="N25" s="62"/>
    </row>
    <row r="26" spans="2:14">
      <c r="C26" s="2">
        <v>25</v>
      </c>
      <c r="E26" t="s">
        <v>95</v>
      </c>
      <c r="F26" s="61">
        <v>0</v>
      </c>
      <c r="G26">
        <v>4.3299999999999998E-2</v>
      </c>
      <c r="H26">
        <v>0.10199999999999999</v>
      </c>
      <c r="I26">
        <v>0.53300000000000003</v>
      </c>
      <c r="J26" s="61"/>
      <c r="K26" s="62"/>
      <c r="L26" s="61"/>
      <c r="M26">
        <v>0.15</v>
      </c>
      <c r="N26" s="62"/>
    </row>
    <row r="27" spans="2:14">
      <c r="C27" s="2">
        <v>26</v>
      </c>
      <c r="E27" t="s">
        <v>97</v>
      </c>
      <c r="F27" s="61">
        <v>0</v>
      </c>
      <c r="G27">
        <v>4.4000000000000003E-3</v>
      </c>
      <c r="H27">
        <v>0.68300000000000005</v>
      </c>
      <c r="I27">
        <v>2.0529999999999999</v>
      </c>
      <c r="J27" s="61"/>
      <c r="K27" s="62"/>
      <c r="L27" s="61"/>
      <c r="M27">
        <v>0.15</v>
      </c>
      <c r="N27" s="62"/>
    </row>
    <row r="28" spans="2:14">
      <c r="C28" s="2">
        <v>27</v>
      </c>
      <c r="E28" t="s">
        <v>73</v>
      </c>
      <c r="F28" s="61">
        <v>0</v>
      </c>
      <c r="G28">
        <v>0.41699999999999998</v>
      </c>
      <c r="H28">
        <v>3.7999999999999999E-2</v>
      </c>
      <c r="I28">
        <v>4.5</v>
      </c>
      <c r="K28" s="62"/>
      <c r="M28">
        <v>0.2</v>
      </c>
      <c r="N28" s="62"/>
    </row>
    <row r="29" spans="2:14">
      <c r="C29" s="2">
        <v>28</v>
      </c>
      <c r="E29" t="s">
        <v>74</v>
      </c>
      <c r="F29" s="61">
        <v>0</v>
      </c>
      <c r="G29">
        <v>0.113</v>
      </c>
      <c r="H29">
        <v>0.04</v>
      </c>
      <c r="I29">
        <v>13.83</v>
      </c>
      <c r="K29" s="62"/>
      <c r="M29">
        <v>0.2</v>
      </c>
      <c r="N29" s="62"/>
    </row>
    <row r="30" spans="2:14">
      <c r="C30" s="2">
        <v>29</v>
      </c>
      <c r="E30" t="s">
        <v>75</v>
      </c>
      <c r="F30" s="61">
        <v>0</v>
      </c>
      <c r="G30">
        <v>3.5000000000000001E-3</v>
      </c>
      <c r="H30">
        <v>0.27500000000000002</v>
      </c>
      <c r="I30">
        <v>4.3789999999999996</v>
      </c>
      <c r="K30" s="62"/>
      <c r="M30">
        <v>0.15</v>
      </c>
      <c r="N30" s="62"/>
    </row>
    <row r="31" spans="2:14">
      <c r="C31" s="2">
        <v>30</v>
      </c>
      <c r="E31" t="s">
        <v>98</v>
      </c>
      <c r="F31" s="61">
        <v>2</v>
      </c>
      <c r="G31">
        <v>0.48399999999999999</v>
      </c>
      <c r="H31"/>
      <c r="I31"/>
      <c r="K31" s="62"/>
      <c r="M31"/>
      <c r="N31" s="63">
        <v>0</v>
      </c>
    </row>
    <row r="32" spans="2:14">
      <c r="C32" s="2">
        <v>31</v>
      </c>
      <c r="E32" t="s">
        <v>96</v>
      </c>
      <c r="F32" s="61">
        <v>2</v>
      </c>
      <c r="G32">
        <v>50</v>
      </c>
      <c r="H32"/>
      <c r="I32"/>
      <c r="N32" s="63">
        <v>0</v>
      </c>
    </row>
    <row r="33" spans="5:9">
      <c r="E33"/>
      <c r="F33" s="61"/>
      <c r="G33"/>
      <c r="H33"/>
      <c r="I33"/>
    </row>
    <row r="34" spans="5:9">
      <c r="F34" s="61"/>
    </row>
    <row r="58" spans="2:2">
      <c r="B58" s="2" t="s">
        <v>15</v>
      </c>
    </row>
    <row r="59" spans="2:2">
      <c r="B59" s="2" t="s">
        <v>15</v>
      </c>
    </row>
    <row r="60" spans="2:2">
      <c r="B60" s="2" t="s">
        <v>15</v>
      </c>
    </row>
    <row r="61" spans="2:2">
      <c r="B61" s="2" t="s">
        <v>15</v>
      </c>
    </row>
    <row r="62" spans="2:2">
      <c r="B62" s="2" t="s">
        <v>15</v>
      </c>
    </row>
    <row r="63" spans="2:2">
      <c r="B63" s="2" t="s">
        <v>15</v>
      </c>
    </row>
    <row r="64" spans="2:2">
      <c r="B64" s="2" t="s">
        <v>15</v>
      </c>
    </row>
    <row r="65" spans="2:7">
      <c r="B65" s="2" t="s">
        <v>15</v>
      </c>
    </row>
    <row r="66" spans="2:7">
      <c r="B66" s="2" t="s">
        <v>15</v>
      </c>
    </row>
    <row r="67" spans="2:7">
      <c r="B67" s="2" t="s">
        <v>15</v>
      </c>
    </row>
    <row r="68" spans="2:7">
      <c r="B68" s="2" t="s">
        <v>15</v>
      </c>
      <c r="G68" s="64"/>
    </row>
  </sheetData>
  <phoneticPr fontId="2" type="noConversion"/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45"/>
  </sheetPr>
  <dimension ref="A1:AG33"/>
  <sheetViews>
    <sheetView workbookViewId="0">
      <pane xSplit="1" ySplit="1" topLeftCell="B7" activePane="bottomRight" state="frozen"/>
      <selection pane="topRight" activeCell="B1" sqref="B1"/>
      <selection pane="bottomLeft" activeCell="A2" sqref="A2"/>
      <selection pane="bottomRight" activeCell="AE1" sqref="AE1:AF1048576"/>
    </sheetView>
  </sheetViews>
  <sheetFormatPr baseColWidth="10" defaultColWidth="8.83203125" defaultRowHeight="12" x14ac:dyDescent="0"/>
  <cols>
    <col min="1" max="1" width="26.83203125" customWidth="1"/>
    <col min="2" max="16384" width="8.83203125" style="10"/>
  </cols>
  <sheetData>
    <row r="1" spans="1:33">
      <c r="A1" s="14" t="s">
        <v>27</v>
      </c>
      <c r="B1" t="s">
        <v>78</v>
      </c>
      <c r="C1" t="s">
        <v>48</v>
      </c>
      <c r="D1" t="s">
        <v>46</v>
      </c>
      <c r="E1" t="s">
        <v>79</v>
      </c>
      <c r="F1" t="s">
        <v>50</v>
      </c>
      <c r="G1" t="s">
        <v>51</v>
      </c>
      <c r="H1" t="s">
        <v>52</v>
      </c>
      <c r="I1" t="s">
        <v>53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60</v>
      </c>
      <c r="Q1" t="s">
        <v>86</v>
      </c>
      <c r="R1" t="s">
        <v>87</v>
      </c>
      <c r="S1" t="s">
        <v>88</v>
      </c>
      <c r="T1" t="s">
        <v>89</v>
      </c>
      <c r="U1" t="s">
        <v>90</v>
      </c>
      <c r="V1" t="s">
        <v>91</v>
      </c>
      <c r="W1" t="s">
        <v>92</v>
      </c>
      <c r="X1" t="s">
        <v>93</v>
      </c>
      <c r="Y1" t="s">
        <v>94</v>
      </c>
      <c r="Z1" t="s">
        <v>95</v>
      </c>
      <c r="AA1" t="s">
        <v>97</v>
      </c>
      <c r="AB1" t="s">
        <v>73</v>
      </c>
      <c r="AC1" t="s">
        <v>74</v>
      </c>
      <c r="AD1" t="s">
        <v>75</v>
      </c>
      <c r="AE1"/>
      <c r="AF1"/>
    </row>
    <row r="2" spans="1:33">
      <c r="A2" t="s">
        <v>78</v>
      </c>
      <c r="B2"/>
      <c r="C2">
        <v>0.24</v>
      </c>
      <c r="D2">
        <v>0.216</v>
      </c>
      <c r="E2">
        <v>0.72399999999999998</v>
      </c>
      <c r="F2">
        <v>0.54600000000000004</v>
      </c>
      <c r="G2">
        <v>8.6999999999999994E-2</v>
      </c>
      <c r="H2">
        <v>0.16200000000000001</v>
      </c>
      <c r="I2">
        <v>2.8000000000000001E-2</v>
      </c>
      <c r="J2">
        <v>0.128</v>
      </c>
      <c r="K2">
        <v>0.21199999999999999</v>
      </c>
      <c r="L2">
        <v>0.432</v>
      </c>
      <c r="M2">
        <v>0.215</v>
      </c>
      <c r="N2">
        <v>0.69</v>
      </c>
      <c r="O2"/>
      <c r="P2">
        <v>6.2E-2</v>
      </c>
      <c r="Q2">
        <v>6.2E-2</v>
      </c>
      <c r="R2">
        <v>1.0999999999999999E-2</v>
      </c>
      <c r="S2">
        <v>0.158</v>
      </c>
      <c r="T2"/>
      <c r="U2">
        <v>1.2E-2</v>
      </c>
      <c r="V2"/>
      <c r="W2"/>
      <c r="X2"/>
      <c r="Y2"/>
      <c r="Z2"/>
      <c r="AA2"/>
      <c r="AB2"/>
      <c r="AC2"/>
      <c r="AD2"/>
      <c r="AE2"/>
      <c r="AF2"/>
      <c r="AG2"/>
    </row>
    <row r="3" spans="1:33">
      <c r="A3" t="s">
        <v>48</v>
      </c>
      <c r="B3"/>
      <c r="C3"/>
      <c r="D3">
        <v>0.16</v>
      </c>
      <c r="E3"/>
      <c r="F3"/>
      <c r="G3">
        <v>0.02</v>
      </c>
      <c r="H3"/>
      <c r="I3">
        <v>1.7000000000000001E-2</v>
      </c>
      <c r="J3">
        <v>0.308</v>
      </c>
      <c r="K3">
        <v>0.187</v>
      </c>
      <c r="L3">
        <v>0.19900000000000001</v>
      </c>
      <c r="M3">
        <v>0.23100000000000001</v>
      </c>
      <c r="N3">
        <v>0.08</v>
      </c>
      <c r="O3">
        <v>0.17599999999999999</v>
      </c>
      <c r="P3">
        <v>0.36499999999999999</v>
      </c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>
      <c r="A4" t="s">
        <v>46</v>
      </c>
      <c r="B4"/>
      <c r="C4"/>
      <c r="D4">
        <v>0.12</v>
      </c>
      <c r="E4">
        <v>0.08</v>
      </c>
      <c r="F4">
        <v>4.3999999999999997E-2</v>
      </c>
      <c r="G4">
        <v>5.0999999999999997E-2</v>
      </c>
      <c r="H4"/>
      <c r="I4">
        <v>7.1999999999999995E-2</v>
      </c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t="s">
        <v>79</v>
      </c>
      <c r="B5"/>
      <c r="C5"/>
      <c r="D5"/>
      <c r="E5">
        <v>6.5000000000000002E-2</v>
      </c>
      <c r="F5">
        <v>0.17399999999999999</v>
      </c>
      <c r="G5">
        <v>0.33500000000000002</v>
      </c>
      <c r="H5">
        <v>0.308</v>
      </c>
      <c r="I5">
        <v>0.34</v>
      </c>
      <c r="J5"/>
      <c r="K5">
        <v>1.9E-2</v>
      </c>
      <c r="L5"/>
      <c r="M5"/>
      <c r="N5"/>
      <c r="O5"/>
      <c r="P5"/>
      <c r="Q5">
        <v>0.45600000000000002</v>
      </c>
      <c r="R5">
        <v>0.15</v>
      </c>
      <c r="S5">
        <v>0.115</v>
      </c>
      <c r="T5"/>
      <c r="U5">
        <v>5.6000000000000001E-2</v>
      </c>
      <c r="V5"/>
      <c r="W5"/>
      <c r="X5"/>
      <c r="Y5"/>
      <c r="Z5"/>
      <c r="AA5"/>
      <c r="AB5">
        <v>5.8999999999999997E-2</v>
      </c>
      <c r="AC5"/>
      <c r="AD5"/>
      <c r="AE5"/>
      <c r="AF5"/>
      <c r="AG5"/>
    </row>
    <row r="6" spans="1:33">
      <c r="A6" t="s">
        <v>50</v>
      </c>
      <c r="B6"/>
      <c r="C6"/>
      <c r="D6"/>
      <c r="E6"/>
      <c r="F6">
        <v>0.122</v>
      </c>
      <c r="G6">
        <v>0.36599999999999999</v>
      </c>
      <c r="H6">
        <v>0.32500000000000001</v>
      </c>
      <c r="I6">
        <v>0.52400000000000002</v>
      </c>
      <c r="J6"/>
      <c r="K6">
        <v>3.6999999999999998E-2</v>
      </c>
      <c r="L6"/>
      <c r="M6"/>
      <c r="N6"/>
      <c r="O6"/>
      <c r="P6"/>
      <c r="Q6">
        <v>0.26400000000000001</v>
      </c>
      <c r="R6">
        <v>0.436</v>
      </c>
      <c r="S6">
        <v>0.57299999999999995</v>
      </c>
      <c r="T6">
        <v>0.129</v>
      </c>
      <c r="U6">
        <v>0.9</v>
      </c>
      <c r="V6"/>
      <c r="W6"/>
      <c r="X6"/>
      <c r="Y6"/>
      <c r="Z6">
        <v>3.1E-2</v>
      </c>
      <c r="AA6"/>
      <c r="AB6">
        <v>0.47299999999999998</v>
      </c>
      <c r="AC6"/>
      <c r="AD6">
        <v>3.4000000000000002E-2</v>
      </c>
      <c r="AE6"/>
      <c r="AF6"/>
      <c r="AG6"/>
    </row>
    <row r="7" spans="1:33">
      <c r="A7" t="s">
        <v>51</v>
      </c>
      <c r="B7"/>
      <c r="C7"/>
      <c r="D7"/>
      <c r="E7"/>
      <c r="F7">
        <v>5.2999999999999999E-2</v>
      </c>
      <c r="G7">
        <v>2.1000000000000001E-2</v>
      </c>
      <c r="H7"/>
      <c r="I7"/>
      <c r="J7"/>
      <c r="K7"/>
      <c r="L7"/>
      <c r="M7"/>
      <c r="N7"/>
      <c r="O7"/>
      <c r="P7"/>
      <c r="Q7"/>
      <c r="R7">
        <v>8.2000000000000003E-2</v>
      </c>
      <c r="S7">
        <v>0.10199999999999999</v>
      </c>
      <c r="T7"/>
      <c r="U7"/>
      <c r="V7">
        <v>1E-3</v>
      </c>
      <c r="W7">
        <v>5.0000000000000001E-3</v>
      </c>
      <c r="X7">
        <v>6.0000000000000001E-3</v>
      </c>
      <c r="Y7">
        <v>2.5999999999999999E-2</v>
      </c>
      <c r="Z7">
        <v>0.01</v>
      </c>
      <c r="AA7">
        <v>0.10299999999999999</v>
      </c>
      <c r="AB7">
        <v>1E-3</v>
      </c>
      <c r="AC7">
        <v>3.0000000000000001E-3</v>
      </c>
      <c r="AD7"/>
      <c r="AE7"/>
      <c r="AF7"/>
      <c r="AG7"/>
    </row>
    <row r="8" spans="1:33">
      <c r="A8" t="s">
        <v>52</v>
      </c>
      <c r="B8"/>
      <c r="C8"/>
      <c r="D8"/>
      <c r="E8"/>
      <c r="F8"/>
      <c r="G8"/>
      <c r="H8">
        <v>4.1000000000000002E-2</v>
      </c>
      <c r="I8">
        <v>1.4E-2</v>
      </c>
      <c r="J8"/>
      <c r="K8"/>
      <c r="L8"/>
      <c r="M8"/>
      <c r="N8"/>
      <c r="O8"/>
      <c r="P8">
        <v>0.123</v>
      </c>
      <c r="Q8">
        <v>7.1999999999999995E-2</v>
      </c>
      <c r="R8">
        <v>0.16500000000000001</v>
      </c>
      <c r="S8">
        <v>4.2000000000000003E-2</v>
      </c>
      <c r="T8">
        <v>0.45600000000000002</v>
      </c>
      <c r="U8">
        <v>0.02</v>
      </c>
      <c r="V8"/>
      <c r="W8">
        <v>1E-3</v>
      </c>
      <c r="X8">
        <v>2.8000000000000001E-2</v>
      </c>
      <c r="Y8">
        <v>1E-3</v>
      </c>
      <c r="Z8"/>
      <c r="AA8"/>
      <c r="AB8">
        <v>0.29599999999999999</v>
      </c>
      <c r="AC8">
        <v>2.7E-2</v>
      </c>
      <c r="AD8">
        <v>0.13700000000000001</v>
      </c>
      <c r="AE8"/>
      <c r="AF8"/>
      <c r="AG8"/>
    </row>
    <row r="9" spans="1:33">
      <c r="A9" t="s">
        <v>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>
        <v>3.0000000000000001E-3</v>
      </c>
      <c r="W9"/>
      <c r="X9"/>
      <c r="Y9">
        <v>7.0000000000000001E-3</v>
      </c>
      <c r="Z9">
        <v>7.0000000000000001E-3</v>
      </c>
      <c r="AA9"/>
      <c r="AB9"/>
      <c r="AC9"/>
      <c r="AD9"/>
      <c r="AE9"/>
      <c r="AF9"/>
      <c r="AG9"/>
    </row>
    <row r="10" spans="1:33">
      <c r="A10" t="s">
        <v>80</v>
      </c>
      <c r="B10"/>
      <c r="C10"/>
      <c r="D10"/>
      <c r="E10"/>
      <c r="F10"/>
      <c r="G10"/>
      <c r="H10"/>
      <c r="I10"/>
      <c r="J10">
        <v>1.4999999999999999E-2</v>
      </c>
      <c r="K10">
        <v>1.4999999999999999E-2</v>
      </c>
      <c r="L10"/>
      <c r="M10">
        <v>1.7000000000000001E-2</v>
      </c>
      <c r="N10"/>
      <c r="O10">
        <v>7.8E-2</v>
      </c>
      <c r="P10"/>
      <c r="Q10">
        <v>0.01</v>
      </c>
      <c r="R10">
        <v>8.9999999999999993E-3</v>
      </c>
      <c r="S10"/>
      <c r="T10"/>
      <c r="U10">
        <v>4.8999999999999998E-4</v>
      </c>
      <c r="V10"/>
      <c r="W10">
        <v>0.111</v>
      </c>
      <c r="X10">
        <v>0.13200000000000001</v>
      </c>
      <c r="Y10">
        <v>1.2999999999999999E-2</v>
      </c>
      <c r="Z10"/>
      <c r="AA10"/>
      <c r="AB10"/>
      <c r="AC10"/>
      <c r="AD10"/>
      <c r="AE10"/>
      <c r="AF10"/>
      <c r="AG10"/>
    </row>
    <row r="11" spans="1:33">
      <c r="A11" t="s">
        <v>81</v>
      </c>
      <c r="B11"/>
      <c r="C11"/>
      <c r="D11"/>
      <c r="E11"/>
      <c r="F11">
        <v>1.9000000000000001E-4</v>
      </c>
      <c r="G11"/>
      <c r="H11"/>
      <c r="I11"/>
      <c r="J11">
        <v>9.7999999999999997E-4</v>
      </c>
      <c r="K11">
        <v>8.0000000000000002E-3</v>
      </c>
      <c r="L11"/>
      <c r="M11">
        <v>2.5000000000000001E-2</v>
      </c>
      <c r="N11"/>
      <c r="O11">
        <v>9.8000000000000004E-2</v>
      </c>
      <c r="P11">
        <v>8.9999999999999993E-3</v>
      </c>
      <c r="Q11">
        <v>7.0000000000000001E-3</v>
      </c>
      <c r="R11">
        <v>2.5000000000000001E-2</v>
      </c>
      <c r="S11">
        <v>6.8999999999999997E-4</v>
      </c>
      <c r="T11">
        <v>9.9000000000000005E-2</v>
      </c>
      <c r="U11">
        <v>2E-3</v>
      </c>
      <c r="V11">
        <v>1.2999999999999999E-2</v>
      </c>
      <c r="W11">
        <v>0.13</v>
      </c>
      <c r="X11">
        <v>6.6000000000000003E-2</v>
      </c>
      <c r="Y11">
        <v>1.2999999999999999E-2</v>
      </c>
      <c r="Z11">
        <v>0.01</v>
      </c>
      <c r="AA11"/>
      <c r="AB11">
        <v>5.8999999999999997E-2</v>
      </c>
      <c r="AC11"/>
      <c r="AD11"/>
      <c r="AE11"/>
      <c r="AF11"/>
      <c r="AG11"/>
    </row>
    <row r="12" spans="1:33">
      <c r="A12" t="s">
        <v>82</v>
      </c>
      <c r="B12"/>
      <c r="C12"/>
      <c r="D12"/>
      <c r="E12"/>
      <c r="F12"/>
      <c r="G12"/>
      <c r="H12"/>
      <c r="I12"/>
      <c r="J12">
        <v>5.8E-4</v>
      </c>
      <c r="K12">
        <v>8.0000000000000002E-3</v>
      </c>
      <c r="L12">
        <v>4.0000000000000001E-3</v>
      </c>
      <c r="M12">
        <v>1.6E-2</v>
      </c>
      <c r="N12"/>
      <c r="O12">
        <v>3.2000000000000001E-2</v>
      </c>
      <c r="P12"/>
      <c r="Q12">
        <v>5.0000000000000001E-3</v>
      </c>
      <c r="R12">
        <v>8.9999999999999993E-3</v>
      </c>
      <c r="S12">
        <v>4.8000000000000001E-4</v>
      </c>
      <c r="T12"/>
      <c r="U12"/>
      <c r="V12"/>
      <c r="W12">
        <v>0.111</v>
      </c>
      <c r="X12">
        <v>6.6000000000000003E-2</v>
      </c>
      <c r="Y12">
        <v>0.02</v>
      </c>
      <c r="Z12"/>
      <c r="AA12"/>
      <c r="AB12">
        <v>6.0000000000000001E-3</v>
      </c>
      <c r="AC12"/>
      <c r="AD12"/>
      <c r="AE12"/>
      <c r="AF12"/>
      <c r="AG12"/>
    </row>
    <row r="13" spans="1:33">
      <c r="A13" t="s">
        <v>83</v>
      </c>
      <c r="B13"/>
      <c r="C13"/>
      <c r="D13"/>
      <c r="E13"/>
      <c r="F13">
        <v>1E-4</v>
      </c>
      <c r="G13"/>
      <c r="H13"/>
      <c r="I13"/>
      <c r="J13">
        <v>4.0000000000000001E-3</v>
      </c>
      <c r="K13">
        <v>2.5999999999999999E-2</v>
      </c>
      <c r="L13">
        <v>3.0000000000000001E-3</v>
      </c>
      <c r="M13">
        <v>5.7000000000000002E-2</v>
      </c>
      <c r="N13"/>
      <c r="O13">
        <v>0.29399999999999998</v>
      </c>
      <c r="P13">
        <v>1.2999999999999999E-2</v>
      </c>
      <c r="Q13">
        <v>5.0000000000000001E-3</v>
      </c>
      <c r="R13">
        <v>1.0999999999999999E-2</v>
      </c>
      <c r="S13">
        <v>2.4000000000000001E-4</v>
      </c>
      <c r="T13">
        <v>1.7999999999999999E-2</v>
      </c>
      <c r="U13"/>
      <c r="V13">
        <v>1.0999999999999999E-2</v>
      </c>
      <c r="W13">
        <v>0.13300000000000001</v>
      </c>
      <c r="X13">
        <v>6.6000000000000003E-2</v>
      </c>
      <c r="Y13">
        <v>0.11799999999999999</v>
      </c>
      <c r="Z13">
        <v>0.01</v>
      </c>
      <c r="AA13"/>
      <c r="AB13">
        <v>2.4E-2</v>
      </c>
      <c r="AC13"/>
      <c r="AD13"/>
      <c r="AE13"/>
      <c r="AF13"/>
      <c r="AG13"/>
    </row>
    <row r="14" spans="1:33">
      <c r="A14" t="s">
        <v>84</v>
      </c>
      <c r="B14"/>
      <c r="C14"/>
      <c r="D14"/>
      <c r="E14"/>
      <c r="F14"/>
      <c r="G14"/>
      <c r="H14"/>
      <c r="I14"/>
      <c r="J14">
        <v>4.0000000000000001E-3</v>
      </c>
      <c r="K14">
        <v>1.7999999999999999E-2</v>
      </c>
      <c r="L14">
        <v>1.2999999999999999E-2</v>
      </c>
      <c r="M14">
        <v>6.0000000000000001E-3</v>
      </c>
      <c r="N14"/>
      <c r="O14">
        <v>4.8000000000000001E-2</v>
      </c>
      <c r="P14"/>
      <c r="Q14"/>
      <c r="R14"/>
      <c r="S14"/>
      <c r="T14"/>
      <c r="U14"/>
      <c r="V14">
        <v>3.0000000000000001E-3</v>
      </c>
      <c r="W14">
        <v>0.104</v>
      </c>
      <c r="X14">
        <v>7.1999999999999995E-2</v>
      </c>
      <c r="Y14">
        <v>0.246</v>
      </c>
      <c r="Z14"/>
      <c r="AA14"/>
      <c r="AB14"/>
      <c r="AC14"/>
      <c r="AD14"/>
      <c r="AE14"/>
      <c r="AF14"/>
      <c r="AG14"/>
    </row>
    <row r="15" spans="1:33">
      <c r="A15" t="s">
        <v>85</v>
      </c>
      <c r="B15"/>
      <c r="C15"/>
      <c r="D15"/>
      <c r="E15"/>
      <c r="F15"/>
      <c r="G15"/>
      <c r="H15"/>
      <c r="I15"/>
      <c r="J15">
        <v>1.9000000000000001E-4</v>
      </c>
      <c r="K15">
        <v>2.9E-4</v>
      </c>
      <c r="L15">
        <v>4.2999999999999999E-4</v>
      </c>
      <c r="M15">
        <v>3.0000000000000001E-3</v>
      </c>
      <c r="N15"/>
      <c r="O15">
        <v>4.4999999999999998E-2</v>
      </c>
      <c r="P15"/>
      <c r="Q15"/>
      <c r="R15"/>
      <c r="S15"/>
      <c r="T15"/>
      <c r="U15"/>
      <c r="V15">
        <v>1.7999999999999999E-2</v>
      </c>
      <c r="W15">
        <v>0.13300000000000001</v>
      </c>
      <c r="X15">
        <v>0.28599999999999998</v>
      </c>
      <c r="Y15">
        <v>1.9E-2</v>
      </c>
      <c r="Z15"/>
      <c r="AA15"/>
      <c r="AB15">
        <v>4.0000000000000001E-3</v>
      </c>
      <c r="AC15"/>
      <c r="AD15"/>
      <c r="AE15"/>
      <c r="AF15"/>
      <c r="AG15"/>
    </row>
    <row r="16" spans="1:33">
      <c r="A16" t="s">
        <v>60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5.4000000000000001E-4</v>
      </c>
      <c r="Q16"/>
      <c r="R16"/>
      <c r="S16"/>
      <c r="T16">
        <v>1.0999999999999999E-2</v>
      </c>
      <c r="U16"/>
      <c r="V16">
        <v>1E-3</v>
      </c>
      <c r="W16">
        <v>6.0000000000000001E-3</v>
      </c>
      <c r="X16">
        <v>0.01</v>
      </c>
      <c r="Y16">
        <v>1.2E-2</v>
      </c>
      <c r="Z16"/>
      <c r="AA16"/>
      <c r="AB16"/>
      <c r="AC16"/>
      <c r="AD16">
        <v>0.01</v>
      </c>
      <c r="AE16"/>
      <c r="AF16"/>
      <c r="AG16"/>
    </row>
    <row r="17" spans="1:33">
      <c r="A17" t="s">
        <v>86</v>
      </c>
      <c r="B17"/>
      <c r="C17"/>
      <c r="D17"/>
      <c r="E17"/>
      <c r="F17"/>
      <c r="G17">
        <v>0.01</v>
      </c>
      <c r="H17"/>
      <c r="I17"/>
      <c r="J17"/>
      <c r="K17"/>
      <c r="L17"/>
      <c r="M17"/>
      <c r="N17"/>
      <c r="O17"/>
      <c r="P17"/>
      <c r="Q17">
        <v>5.5E-2</v>
      </c>
      <c r="R17">
        <v>9.6000000000000002E-2</v>
      </c>
      <c r="S17">
        <v>7.0000000000000001E-3</v>
      </c>
      <c r="T17">
        <v>0.17599999999999999</v>
      </c>
      <c r="U17">
        <v>8.0000000000000002E-3</v>
      </c>
      <c r="V17">
        <v>2E-3</v>
      </c>
      <c r="W17"/>
      <c r="X17">
        <v>1.2999999999999999E-2</v>
      </c>
      <c r="Y17">
        <v>1.2999999999999999E-2</v>
      </c>
      <c r="Z17"/>
      <c r="AA17"/>
      <c r="AB17"/>
      <c r="AC17"/>
      <c r="AD17"/>
      <c r="AE17"/>
      <c r="AF17"/>
      <c r="AG17"/>
    </row>
    <row r="18" spans="1:33">
      <c r="A18" t="s">
        <v>87</v>
      </c>
      <c r="B18"/>
      <c r="C18"/>
      <c r="D18"/>
      <c r="E18"/>
      <c r="F18"/>
      <c r="G18">
        <v>5.0000000000000001E-3</v>
      </c>
      <c r="H18"/>
      <c r="I18"/>
      <c r="J18"/>
      <c r="K18"/>
      <c r="L18"/>
      <c r="M18"/>
      <c r="N18"/>
      <c r="O18"/>
      <c r="P18"/>
      <c r="Q18"/>
      <c r="R18"/>
      <c r="S18"/>
      <c r="T18">
        <v>1.6E-2</v>
      </c>
      <c r="U18"/>
      <c r="V18">
        <v>0.57599999999999996</v>
      </c>
      <c r="W18">
        <v>0.11</v>
      </c>
      <c r="X18">
        <v>0.13200000000000001</v>
      </c>
      <c r="Y18">
        <v>0.32200000000000001</v>
      </c>
      <c r="Z18">
        <v>0.216</v>
      </c>
      <c r="AA18">
        <v>0.13500000000000001</v>
      </c>
      <c r="AB18">
        <v>5.8999999999999997E-2</v>
      </c>
      <c r="AC18">
        <v>0.379</v>
      </c>
      <c r="AD18">
        <v>0.30499999999999999</v>
      </c>
      <c r="AE18"/>
      <c r="AF18"/>
      <c r="AG18"/>
    </row>
    <row r="19" spans="1:33">
      <c r="A19" t="s">
        <v>88</v>
      </c>
      <c r="B19"/>
      <c r="C19"/>
      <c r="D19"/>
      <c r="E19"/>
      <c r="F19"/>
      <c r="G19">
        <v>2E-3</v>
      </c>
      <c r="H19"/>
      <c r="I19"/>
      <c r="J19"/>
      <c r="K19"/>
      <c r="L19"/>
      <c r="M19"/>
      <c r="N19"/>
      <c r="O19"/>
      <c r="P19"/>
      <c r="Q19"/>
      <c r="R19"/>
      <c r="S19"/>
      <c r="T19">
        <v>1.7999999999999999E-2</v>
      </c>
      <c r="U19"/>
      <c r="V19">
        <v>4.3999999999999997E-2</v>
      </c>
      <c r="W19">
        <v>1E-3</v>
      </c>
      <c r="X19">
        <v>2E-3</v>
      </c>
      <c r="Y19">
        <v>3.2000000000000001E-2</v>
      </c>
      <c r="Z19">
        <v>8.2000000000000003E-2</v>
      </c>
      <c r="AA19">
        <v>0.74099999999999999</v>
      </c>
      <c r="AB19">
        <v>4.0000000000000001E-3</v>
      </c>
      <c r="AC19">
        <v>0.20499999999999999</v>
      </c>
      <c r="AD19">
        <v>0.26300000000000001</v>
      </c>
      <c r="AE19"/>
      <c r="AF19"/>
      <c r="AG19"/>
    </row>
    <row r="20" spans="1:33">
      <c r="A20" t="s">
        <v>89</v>
      </c>
      <c r="B20"/>
      <c r="C20"/>
      <c r="D20"/>
      <c r="E20"/>
      <c r="F20"/>
      <c r="G20">
        <v>4.2999999999999999E-4</v>
      </c>
      <c r="H20"/>
      <c r="I20"/>
      <c r="J20"/>
      <c r="K20"/>
      <c r="L20"/>
      <c r="M20"/>
      <c r="N20"/>
      <c r="O20"/>
      <c r="P20"/>
      <c r="Q20"/>
      <c r="R20"/>
      <c r="S20"/>
      <c r="T20">
        <v>7.6999999999999999E-2</v>
      </c>
      <c r="U20"/>
      <c r="V20">
        <v>0.114</v>
      </c>
      <c r="W20">
        <v>0.01</v>
      </c>
      <c r="X20">
        <v>2.1999999999999999E-2</v>
      </c>
      <c r="Y20">
        <v>1.4999999999999999E-2</v>
      </c>
      <c r="Z20">
        <v>0.16500000000000001</v>
      </c>
      <c r="AA20">
        <v>2.1999999999999999E-2</v>
      </c>
      <c r="AB20">
        <v>3.0000000000000001E-3</v>
      </c>
      <c r="AC20">
        <v>0.27400000000000002</v>
      </c>
      <c r="AD20">
        <v>6.8000000000000005E-2</v>
      </c>
      <c r="AE20"/>
      <c r="AF20"/>
      <c r="AG20"/>
    </row>
    <row r="21" spans="1:33">
      <c r="A21" t="s">
        <v>90</v>
      </c>
      <c r="B21"/>
      <c r="C21"/>
      <c r="D21"/>
      <c r="E21"/>
      <c r="F21"/>
      <c r="G21">
        <v>1.5999999999999999E-5</v>
      </c>
      <c r="H21"/>
      <c r="I21"/>
      <c r="J21"/>
      <c r="K21"/>
      <c r="L21"/>
      <c r="M21"/>
      <c r="N21"/>
      <c r="O21"/>
      <c r="P21"/>
      <c r="Q21"/>
      <c r="R21"/>
      <c r="S21"/>
      <c r="T21">
        <v>1E-4</v>
      </c>
      <c r="U21"/>
      <c r="V21">
        <v>0.01</v>
      </c>
      <c r="W21"/>
      <c r="X21"/>
      <c r="Y21">
        <v>8.9999999999999993E-3</v>
      </c>
      <c r="Z21">
        <v>1E-3</v>
      </c>
      <c r="AA21"/>
      <c r="AB21">
        <v>1.2999999999999999E-4</v>
      </c>
      <c r="AC21">
        <v>2E-3</v>
      </c>
      <c r="AD21">
        <v>1E-3</v>
      </c>
      <c r="AE21"/>
      <c r="AF21"/>
      <c r="AG21"/>
    </row>
    <row r="22" spans="1:33">
      <c r="A22" t="s">
        <v>91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>
        <v>1.0999999999999999E-2</v>
      </c>
      <c r="W22"/>
      <c r="X22"/>
      <c r="Y22">
        <v>1E-3</v>
      </c>
      <c r="Z22">
        <v>0.124</v>
      </c>
      <c r="AA22"/>
      <c r="AB22"/>
      <c r="AC22">
        <v>3.2000000000000003E-4</v>
      </c>
      <c r="AD22">
        <v>5.4000000000000001E-4</v>
      </c>
      <c r="AE22"/>
      <c r="AF22"/>
      <c r="AG22"/>
    </row>
    <row r="23" spans="1:33">
      <c r="A23" t="s">
        <v>92</v>
      </c>
      <c r="B23"/>
      <c r="C23"/>
      <c r="D23"/>
      <c r="E23"/>
      <c r="F23"/>
      <c r="G23"/>
      <c r="H23"/>
      <c r="I23"/>
      <c r="J23"/>
      <c r="K23">
        <v>8.4999999999999995E-4</v>
      </c>
      <c r="L23"/>
      <c r="M23">
        <v>8.4999999999999995E-4</v>
      </c>
      <c r="N23"/>
      <c r="O23">
        <v>3.0000000000000001E-3</v>
      </c>
      <c r="P23"/>
      <c r="Q23"/>
      <c r="R23">
        <v>9.1E-4</v>
      </c>
      <c r="S23"/>
      <c r="T23"/>
      <c r="U23"/>
      <c r="V23">
        <v>9.8000000000000004E-2</v>
      </c>
      <c r="W23">
        <v>7.5999999999999998E-2</v>
      </c>
      <c r="X23">
        <v>4.8000000000000001E-2</v>
      </c>
      <c r="Y23">
        <v>3.7999999999999999E-2</v>
      </c>
      <c r="Z23">
        <v>5.0999999999999997E-2</v>
      </c>
      <c r="AA23"/>
      <c r="AB23"/>
      <c r="AC23"/>
      <c r="AD23"/>
      <c r="AE23"/>
      <c r="AF23"/>
      <c r="AG23"/>
    </row>
    <row r="24" spans="1:33">
      <c r="A24" t="s">
        <v>93</v>
      </c>
      <c r="B24"/>
      <c r="C24"/>
      <c r="D24"/>
      <c r="E24"/>
      <c r="F24"/>
      <c r="G24"/>
      <c r="H24"/>
      <c r="I24"/>
      <c r="J24"/>
      <c r="K24">
        <v>5.1000000000000004E-4</v>
      </c>
      <c r="L24"/>
      <c r="M24">
        <v>4.2000000000000002E-4</v>
      </c>
      <c r="N24"/>
      <c r="O24">
        <v>2E-3</v>
      </c>
      <c r="P24"/>
      <c r="Q24"/>
      <c r="R24">
        <v>9.1E-4</v>
      </c>
      <c r="S24"/>
      <c r="T24"/>
      <c r="U24"/>
      <c r="V24">
        <v>1.4E-2</v>
      </c>
      <c r="W24">
        <v>2.9000000000000001E-2</v>
      </c>
      <c r="X24">
        <v>4.0000000000000001E-3</v>
      </c>
      <c r="Y24">
        <v>7.0000000000000001E-3</v>
      </c>
      <c r="Z24">
        <v>8.2000000000000003E-2</v>
      </c>
      <c r="AA24"/>
      <c r="AB24"/>
      <c r="AC24">
        <v>6.8000000000000005E-2</v>
      </c>
      <c r="AD24">
        <v>4.1000000000000002E-2</v>
      </c>
      <c r="AE24"/>
      <c r="AF24"/>
      <c r="AG24"/>
    </row>
    <row r="25" spans="1:33">
      <c r="A25" t="s">
        <v>94</v>
      </c>
      <c r="B25"/>
      <c r="C25"/>
      <c r="D25"/>
      <c r="E25"/>
      <c r="F25"/>
      <c r="G25"/>
      <c r="H25"/>
      <c r="I25"/>
      <c r="J25"/>
      <c r="K25"/>
      <c r="L25"/>
      <c r="M25">
        <v>2.3999999999999998E-7</v>
      </c>
      <c r="N25"/>
      <c r="O25">
        <v>2.3999999999999998E-7</v>
      </c>
      <c r="P25"/>
      <c r="Q25"/>
      <c r="R25">
        <v>4.0000000000000001E-3</v>
      </c>
      <c r="S25"/>
      <c r="T25"/>
      <c r="U25"/>
      <c r="V25">
        <v>7.9000000000000001E-2</v>
      </c>
      <c r="W25">
        <v>1.7999999999999999E-2</v>
      </c>
      <c r="X25">
        <v>2.5000000000000001E-2</v>
      </c>
      <c r="Y25">
        <v>8.5999999999999993E-2</v>
      </c>
      <c r="Z25">
        <v>7.1999999999999995E-2</v>
      </c>
      <c r="AA25"/>
      <c r="AB25"/>
      <c r="AC25">
        <v>0.04</v>
      </c>
      <c r="AD25">
        <v>1.2999999999999999E-2</v>
      </c>
      <c r="AE25"/>
      <c r="AF25"/>
      <c r="AG25"/>
    </row>
    <row r="26" spans="1:33">
      <c r="A26" t="s">
        <v>95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>
        <v>1.4E-2</v>
      </c>
      <c r="AA26"/>
      <c r="AB26"/>
      <c r="AC26"/>
      <c r="AD26"/>
      <c r="AE26"/>
      <c r="AF26"/>
      <c r="AG26"/>
    </row>
    <row r="27" spans="1:33">
      <c r="A27" t="s">
        <v>97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>
        <v>0.01</v>
      </c>
      <c r="AA27"/>
      <c r="AB27"/>
      <c r="AC27"/>
      <c r="AD27"/>
      <c r="AE27"/>
      <c r="AF27"/>
      <c r="AG27"/>
    </row>
    <row r="28" spans="1:33">
      <c r="A28" t="s">
        <v>73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>
        <v>0.01</v>
      </c>
      <c r="AA28"/>
      <c r="AB28"/>
      <c r="AC28"/>
      <c r="AD28"/>
      <c r="AE28"/>
      <c r="AF28"/>
      <c r="AG28"/>
    </row>
    <row r="29" spans="1:33">
      <c r="A29" t="s">
        <v>74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>
        <v>2.1000000000000001E-2</v>
      </c>
      <c r="AA29"/>
      <c r="AB29"/>
      <c r="AC29">
        <v>2E-3</v>
      </c>
      <c r="AD29"/>
      <c r="AE29"/>
      <c r="AF29"/>
      <c r="AG29"/>
    </row>
    <row r="30" spans="1:33">
      <c r="A30" t="s">
        <v>75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>
        <v>3.1E-2</v>
      </c>
      <c r="AA30"/>
      <c r="AB30"/>
      <c r="AC30"/>
      <c r="AD30"/>
      <c r="AE30"/>
      <c r="AF30"/>
      <c r="AG30"/>
    </row>
    <row r="31" spans="1:33">
      <c r="A31" t="s">
        <v>98</v>
      </c>
      <c r="B31"/>
      <c r="C31"/>
      <c r="D31"/>
      <c r="E31"/>
      <c r="F31"/>
      <c r="G31"/>
      <c r="H31"/>
      <c r="I31"/>
      <c r="J31">
        <v>6.0000000000000001E-3</v>
      </c>
      <c r="K31">
        <v>8.9999999999999993E-3</v>
      </c>
      <c r="L31">
        <v>6.0000000000000001E-3</v>
      </c>
      <c r="M31">
        <v>0.01</v>
      </c>
      <c r="N31"/>
      <c r="O31">
        <v>4.8000000000000001E-2</v>
      </c>
      <c r="P31">
        <v>6.2E-2</v>
      </c>
      <c r="Q31"/>
      <c r="R31"/>
      <c r="S31"/>
      <c r="T31"/>
      <c r="U31"/>
      <c r="V31"/>
      <c r="W31">
        <v>1.0999999999999999E-2</v>
      </c>
      <c r="X31">
        <v>1.0999999999999999E-2</v>
      </c>
      <c r="Y31"/>
      <c r="Z31"/>
      <c r="AA31"/>
      <c r="AB31"/>
      <c r="AC31"/>
      <c r="AD31">
        <v>0.126</v>
      </c>
      <c r="AE31"/>
      <c r="AF31"/>
      <c r="AG31"/>
    </row>
    <row r="32" spans="1:33">
      <c r="A32" t="s">
        <v>96</v>
      </c>
      <c r="B32"/>
      <c r="C32">
        <v>0.76</v>
      </c>
      <c r="D32">
        <v>0.504</v>
      </c>
      <c r="E32">
        <v>0.13100000000000001</v>
      </c>
      <c r="F32">
        <v>5.8999999999999997E-2</v>
      </c>
      <c r="G32">
        <v>0.10199999999999999</v>
      </c>
      <c r="H32">
        <v>0.16300000000000001</v>
      </c>
      <c r="I32">
        <v>4.0000000000000001E-3</v>
      </c>
      <c r="J32">
        <v>0.53400000000000003</v>
      </c>
      <c r="K32">
        <v>0.45900000000000002</v>
      </c>
      <c r="L32">
        <v>0.34200000000000003</v>
      </c>
      <c r="M32">
        <v>0.41799999999999998</v>
      </c>
      <c r="N32">
        <v>0.23</v>
      </c>
      <c r="O32">
        <v>0.17599999999999999</v>
      </c>
      <c r="P32">
        <v>0.36499999999999999</v>
      </c>
      <c r="Q32">
        <v>6.2E-2</v>
      </c>
      <c r="R32"/>
      <c r="S32">
        <v>6.9999999999999999E-4</v>
      </c>
      <c r="T32"/>
      <c r="U32">
        <v>1E-3</v>
      </c>
      <c r="V32">
        <v>1E-3</v>
      </c>
      <c r="W32">
        <v>1.0999999999999999E-2</v>
      </c>
      <c r="X32">
        <v>1.0999999999999999E-2</v>
      </c>
      <c r="Y32">
        <v>1E-3</v>
      </c>
      <c r="Z32">
        <v>5.0999999999999997E-2</v>
      </c>
      <c r="AA32"/>
      <c r="AB32">
        <v>1.2E-2</v>
      </c>
      <c r="AC32"/>
      <c r="AD32"/>
      <c r="AE32"/>
      <c r="AF32"/>
      <c r="AG32"/>
    </row>
    <row r="33" spans="2:3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</sheetData>
  <phoneticPr fontId="2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45"/>
  </sheetPr>
  <dimension ref="A1:E34"/>
  <sheetViews>
    <sheetView zoomScale="75" workbookViewId="0">
      <pane ySplit="1" topLeftCell="A2" activePane="bottomLeft" state="frozen"/>
      <selection pane="bottomLeft" activeCell="H17" sqref="H17"/>
    </sheetView>
  </sheetViews>
  <sheetFormatPr baseColWidth="10" defaultColWidth="8.83203125" defaultRowHeight="12" x14ac:dyDescent="0"/>
  <cols>
    <col min="1" max="1" width="12.83203125" customWidth="1"/>
    <col min="2" max="3" width="21.6640625" customWidth="1"/>
    <col min="4" max="4" width="18.83203125" customWidth="1"/>
    <col min="5" max="5" width="8.83203125" style="10"/>
  </cols>
  <sheetData>
    <row r="1" spans="1:5">
      <c r="A1" s="15" t="s">
        <v>28</v>
      </c>
      <c r="B1" s="1" t="s">
        <v>0</v>
      </c>
      <c r="C1" s="1" t="s">
        <v>76</v>
      </c>
      <c r="D1" s="2" t="s">
        <v>96</v>
      </c>
      <c r="E1" s="49" t="s">
        <v>10</v>
      </c>
    </row>
    <row r="2" spans="1:5">
      <c r="A2">
        <v>1</v>
      </c>
      <c r="B2" t="s">
        <v>78</v>
      </c>
      <c r="C2">
        <v>0.01</v>
      </c>
      <c r="D2">
        <v>0.99</v>
      </c>
      <c r="E2" s="10">
        <v>0</v>
      </c>
    </row>
    <row r="3" spans="1:5">
      <c r="A3">
        <v>2</v>
      </c>
      <c r="B3" t="s">
        <v>48</v>
      </c>
      <c r="C3">
        <v>0.01</v>
      </c>
      <c r="D3">
        <v>0.99</v>
      </c>
      <c r="E3" s="10">
        <v>0</v>
      </c>
    </row>
    <row r="4" spans="1:5">
      <c r="A4">
        <v>3</v>
      </c>
      <c r="B4" t="s">
        <v>46</v>
      </c>
      <c r="C4">
        <v>0.01</v>
      </c>
      <c r="D4">
        <v>0.99</v>
      </c>
      <c r="E4" s="10">
        <v>0</v>
      </c>
    </row>
    <row r="5" spans="1:5">
      <c r="A5">
        <v>4</v>
      </c>
      <c r="B5" t="s">
        <v>79</v>
      </c>
      <c r="C5">
        <v>0.01</v>
      </c>
      <c r="D5">
        <v>0.99</v>
      </c>
      <c r="E5" s="10">
        <v>0</v>
      </c>
    </row>
    <row r="6" spans="1:5">
      <c r="A6">
        <v>5</v>
      </c>
      <c r="B6" t="s">
        <v>50</v>
      </c>
      <c r="C6">
        <v>0.01</v>
      </c>
      <c r="D6">
        <v>0.99</v>
      </c>
      <c r="E6" s="10">
        <v>0</v>
      </c>
    </row>
    <row r="7" spans="1:5">
      <c r="A7">
        <v>6</v>
      </c>
      <c r="B7" t="s">
        <v>51</v>
      </c>
      <c r="C7">
        <v>0.01</v>
      </c>
      <c r="D7">
        <v>0.99</v>
      </c>
      <c r="E7" s="10">
        <v>0</v>
      </c>
    </row>
    <row r="8" spans="1:5">
      <c r="A8">
        <v>7</v>
      </c>
      <c r="B8" t="s">
        <v>52</v>
      </c>
      <c r="C8">
        <v>0.01</v>
      </c>
      <c r="D8">
        <v>0.99</v>
      </c>
      <c r="E8" s="10">
        <v>0</v>
      </c>
    </row>
    <row r="9" spans="1:5">
      <c r="A9">
        <v>8</v>
      </c>
      <c r="B9" t="s">
        <v>53</v>
      </c>
      <c r="C9">
        <v>0</v>
      </c>
      <c r="D9">
        <v>0</v>
      </c>
      <c r="E9" s="10">
        <v>1</v>
      </c>
    </row>
    <row r="10" spans="1:5">
      <c r="A10">
        <v>9</v>
      </c>
      <c r="B10" t="s">
        <v>80</v>
      </c>
      <c r="C10">
        <v>0.01</v>
      </c>
      <c r="D10">
        <v>0.99</v>
      </c>
      <c r="E10" s="10">
        <v>0</v>
      </c>
    </row>
    <row r="11" spans="1:5">
      <c r="A11">
        <v>10</v>
      </c>
      <c r="B11" t="s">
        <v>81</v>
      </c>
      <c r="C11">
        <v>0.01</v>
      </c>
      <c r="D11">
        <v>0.99</v>
      </c>
      <c r="E11" s="10">
        <v>0</v>
      </c>
    </row>
    <row r="12" spans="1:5">
      <c r="A12">
        <v>11</v>
      </c>
      <c r="B12" t="s">
        <v>82</v>
      </c>
      <c r="C12">
        <v>0.01</v>
      </c>
      <c r="D12">
        <v>0.99</v>
      </c>
      <c r="E12" s="10">
        <v>0</v>
      </c>
    </row>
    <row r="13" spans="1:5">
      <c r="A13">
        <v>12</v>
      </c>
      <c r="B13" t="s">
        <v>83</v>
      </c>
      <c r="C13">
        <v>0.01</v>
      </c>
      <c r="D13">
        <v>0.99</v>
      </c>
      <c r="E13" s="10">
        <v>0</v>
      </c>
    </row>
    <row r="14" spans="1:5">
      <c r="A14">
        <v>13</v>
      </c>
      <c r="B14" t="s">
        <v>84</v>
      </c>
      <c r="C14">
        <v>0.01</v>
      </c>
      <c r="D14">
        <v>0.99</v>
      </c>
      <c r="E14" s="10">
        <v>0</v>
      </c>
    </row>
    <row r="15" spans="1:5">
      <c r="A15">
        <v>14</v>
      </c>
      <c r="B15" t="s">
        <v>85</v>
      </c>
      <c r="C15">
        <v>0.01</v>
      </c>
      <c r="D15">
        <v>0.99</v>
      </c>
      <c r="E15" s="10">
        <v>0</v>
      </c>
    </row>
    <row r="16" spans="1:5">
      <c r="A16">
        <v>15</v>
      </c>
      <c r="B16" t="s">
        <v>60</v>
      </c>
      <c r="C16">
        <v>0.01</v>
      </c>
      <c r="D16">
        <v>0.99</v>
      </c>
      <c r="E16" s="10">
        <v>0</v>
      </c>
    </row>
    <row r="17" spans="1:5">
      <c r="A17">
        <v>16</v>
      </c>
      <c r="B17" t="s">
        <v>86</v>
      </c>
      <c r="C17">
        <v>0.01</v>
      </c>
      <c r="D17">
        <v>0.99</v>
      </c>
      <c r="E17" s="10">
        <v>0</v>
      </c>
    </row>
    <row r="18" spans="1:5">
      <c r="A18">
        <v>17</v>
      </c>
      <c r="B18" t="s">
        <v>87</v>
      </c>
      <c r="C18">
        <v>0.01</v>
      </c>
      <c r="D18">
        <v>0.99</v>
      </c>
      <c r="E18" s="10">
        <v>0</v>
      </c>
    </row>
    <row r="19" spans="1:5">
      <c r="A19">
        <v>18</v>
      </c>
      <c r="B19" t="s">
        <v>88</v>
      </c>
      <c r="C19">
        <v>0.01</v>
      </c>
      <c r="D19">
        <v>0.99</v>
      </c>
      <c r="E19" s="10">
        <v>0</v>
      </c>
    </row>
    <row r="20" spans="1:5">
      <c r="A20">
        <v>19</v>
      </c>
      <c r="B20" t="s">
        <v>89</v>
      </c>
      <c r="C20">
        <v>0.01</v>
      </c>
      <c r="D20">
        <v>0.99</v>
      </c>
      <c r="E20" s="10">
        <v>0</v>
      </c>
    </row>
    <row r="21" spans="1:5">
      <c r="A21">
        <v>20</v>
      </c>
      <c r="B21" t="s">
        <v>90</v>
      </c>
      <c r="C21">
        <v>0.01</v>
      </c>
      <c r="D21">
        <v>0.99</v>
      </c>
      <c r="E21" s="10">
        <v>0</v>
      </c>
    </row>
    <row r="22" spans="1:5">
      <c r="A22">
        <v>21</v>
      </c>
      <c r="B22" t="s">
        <v>91</v>
      </c>
      <c r="C22">
        <v>0.01</v>
      </c>
      <c r="D22">
        <v>0.99</v>
      </c>
      <c r="E22" s="10">
        <v>0</v>
      </c>
    </row>
    <row r="23" spans="1:5">
      <c r="A23">
        <v>22</v>
      </c>
      <c r="B23" t="s">
        <v>92</v>
      </c>
      <c r="C23">
        <v>0.01</v>
      </c>
      <c r="D23">
        <v>0.99</v>
      </c>
      <c r="E23" s="10">
        <v>0</v>
      </c>
    </row>
    <row r="24" spans="1:5">
      <c r="A24">
        <v>23</v>
      </c>
      <c r="B24" t="s">
        <v>93</v>
      </c>
      <c r="C24">
        <v>0.01</v>
      </c>
      <c r="D24">
        <v>0.99</v>
      </c>
      <c r="E24" s="10">
        <v>0</v>
      </c>
    </row>
    <row r="25" spans="1:5">
      <c r="A25">
        <v>24</v>
      </c>
      <c r="B25" t="s">
        <v>94</v>
      </c>
      <c r="C25">
        <v>0.01</v>
      </c>
      <c r="D25">
        <v>0.99</v>
      </c>
      <c r="E25" s="10">
        <v>0</v>
      </c>
    </row>
    <row r="26" spans="1:5">
      <c r="A26">
        <v>25</v>
      </c>
      <c r="B26" t="s">
        <v>95</v>
      </c>
      <c r="C26">
        <v>0.01</v>
      </c>
      <c r="D26">
        <v>0.99</v>
      </c>
      <c r="E26" s="10">
        <v>0</v>
      </c>
    </row>
    <row r="27" spans="1:5">
      <c r="A27">
        <v>26</v>
      </c>
      <c r="B27" t="s">
        <v>97</v>
      </c>
      <c r="C27">
        <v>0.01</v>
      </c>
      <c r="D27">
        <v>0.99</v>
      </c>
      <c r="E27" s="10">
        <v>0</v>
      </c>
    </row>
    <row r="28" spans="1:5">
      <c r="A28">
        <v>27</v>
      </c>
      <c r="B28" t="s">
        <v>73</v>
      </c>
      <c r="C28">
        <v>0.01</v>
      </c>
      <c r="D28">
        <v>0.99</v>
      </c>
      <c r="E28" s="10">
        <v>0</v>
      </c>
    </row>
    <row r="29" spans="1:5">
      <c r="A29">
        <v>28</v>
      </c>
      <c r="B29" t="s">
        <v>74</v>
      </c>
      <c r="C29">
        <v>0.01</v>
      </c>
      <c r="D29">
        <v>0.99</v>
      </c>
      <c r="E29" s="10">
        <v>0</v>
      </c>
    </row>
    <row r="30" spans="1:5">
      <c r="A30">
        <v>29</v>
      </c>
      <c r="B30" t="s">
        <v>75</v>
      </c>
      <c r="C30">
        <v>0.01</v>
      </c>
      <c r="D30">
        <v>0.99</v>
      </c>
      <c r="E30" s="10">
        <v>0</v>
      </c>
    </row>
    <row r="31" spans="1:5">
      <c r="A31">
        <v>30</v>
      </c>
      <c r="B31" t="s">
        <v>98</v>
      </c>
      <c r="C31">
        <v>0.01</v>
      </c>
      <c r="D31">
        <v>1E-3</v>
      </c>
      <c r="E31" s="10">
        <v>0.98899999999999999</v>
      </c>
    </row>
    <row r="32" spans="1:5">
      <c r="A32">
        <v>31</v>
      </c>
      <c r="B32" t="s">
        <v>96</v>
      </c>
      <c r="C32">
        <v>0.01</v>
      </c>
      <c r="D32">
        <v>0</v>
      </c>
      <c r="E32" s="10">
        <v>0.99</v>
      </c>
    </row>
    <row r="34" spans="2:3">
      <c r="B34" s="2"/>
      <c r="C34" s="2"/>
    </row>
  </sheetData>
  <phoneticPr fontId="2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indexed="45"/>
  </sheetPr>
  <dimension ref="A1:D78"/>
  <sheetViews>
    <sheetView zoomScale="75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D4" sqref="D4"/>
    </sheetView>
  </sheetViews>
  <sheetFormatPr baseColWidth="10" defaultColWidth="8.83203125" defaultRowHeight="12" x14ac:dyDescent="0"/>
  <cols>
    <col min="1" max="1" width="12.6640625" customWidth="1"/>
    <col min="2" max="2" width="46.5" bestFit="1" customWidth="1"/>
    <col min="3" max="4" width="10.83203125" customWidth="1"/>
  </cols>
  <sheetData>
    <row r="1" spans="1:4" s="12" customFormat="1" ht="24">
      <c r="A1" s="15" t="s">
        <v>29</v>
      </c>
      <c r="B1" s="11" t="s">
        <v>0</v>
      </c>
      <c r="C1" s="2" t="s">
        <v>45</v>
      </c>
      <c r="D1" s="12" t="s">
        <v>14</v>
      </c>
    </row>
    <row r="2" spans="1:4">
      <c r="A2">
        <v>1</v>
      </c>
      <c r="B2" t="s">
        <v>47</v>
      </c>
      <c r="D2">
        <v>0</v>
      </c>
    </row>
    <row r="3" spans="1:4">
      <c r="A3">
        <v>2</v>
      </c>
      <c r="B3" t="s">
        <v>48</v>
      </c>
      <c r="D3">
        <v>0</v>
      </c>
    </row>
    <row r="4" spans="1:4">
      <c r="A4">
        <v>3</v>
      </c>
      <c r="B4" t="s">
        <v>46</v>
      </c>
      <c r="D4">
        <v>0</v>
      </c>
    </row>
    <row r="5" spans="1:4">
      <c r="A5">
        <v>4</v>
      </c>
      <c r="B5" t="s">
        <v>49</v>
      </c>
      <c r="D5">
        <v>0</v>
      </c>
    </row>
    <row r="6" spans="1:4">
      <c r="A6">
        <v>5</v>
      </c>
      <c r="B6" t="s">
        <v>50</v>
      </c>
      <c r="D6">
        <v>0</v>
      </c>
    </row>
    <row r="7" spans="1:4">
      <c r="A7">
        <v>6</v>
      </c>
      <c r="B7" t="s">
        <v>51</v>
      </c>
      <c r="D7">
        <v>0</v>
      </c>
    </row>
    <row r="8" spans="1:4">
      <c r="A8">
        <v>7</v>
      </c>
      <c r="B8" t="s">
        <v>52</v>
      </c>
      <c r="D8">
        <v>0</v>
      </c>
    </row>
    <row r="9" spans="1:4">
      <c r="A9">
        <v>8</v>
      </c>
      <c r="B9" t="s">
        <v>53</v>
      </c>
      <c r="D9">
        <v>0</v>
      </c>
    </row>
    <row r="10" spans="1:4">
      <c r="A10">
        <v>9</v>
      </c>
      <c r="B10" t="s">
        <v>54</v>
      </c>
      <c r="D10">
        <v>0</v>
      </c>
    </row>
    <row r="11" spans="1:4">
      <c r="A11">
        <v>10</v>
      </c>
      <c r="B11" t="s">
        <v>55</v>
      </c>
      <c r="D11">
        <v>0</v>
      </c>
    </row>
    <row r="12" spans="1:4">
      <c r="A12">
        <v>11</v>
      </c>
      <c r="B12" t="s">
        <v>56</v>
      </c>
      <c r="D12">
        <v>0</v>
      </c>
    </row>
    <row r="13" spans="1:4">
      <c r="A13">
        <v>12</v>
      </c>
      <c r="B13" t="s">
        <v>57</v>
      </c>
      <c r="C13">
        <v>0.64800000000000002</v>
      </c>
      <c r="D13">
        <v>0.64800000000000002</v>
      </c>
    </row>
    <row r="14" spans="1:4">
      <c r="A14">
        <v>13</v>
      </c>
      <c r="B14" t="s">
        <v>58</v>
      </c>
      <c r="C14">
        <v>3.3099999999999997E-2</v>
      </c>
      <c r="D14">
        <v>3.3000000000000002E-2</v>
      </c>
    </row>
    <row r="15" spans="1:4">
      <c r="A15">
        <v>14</v>
      </c>
      <c r="B15" t="s">
        <v>59</v>
      </c>
      <c r="D15">
        <v>0</v>
      </c>
    </row>
    <row r="16" spans="1:4">
      <c r="A16">
        <v>15</v>
      </c>
      <c r="B16" t="s">
        <v>60</v>
      </c>
      <c r="C16">
        <v>2.2900000000000001E-4</v>
      </c>
      <c r="D16">
        <v>0</v>
      </c>
    </row>
    <row r="17" spans="1:4">
      <c r="A17">
        <v>16</v>
      </c>
      <c r="B17" t="s">
        <v>61</v>
      </c>
      <c r="C17">
        <v>0.29899999999999999</v>
      </c>
      <c r="D17">
        <v>0.29899999999999999</v>
      </c>
    </row>
    <row r="18" spans="1:4">
      <c r="A18">
        <v>17</v>
      </c>
      <c r="B18" t="s">
        <v>62</v>
      </c>
      <c r="D18">
        <v>0</v>
      </c>
    </row>
    <row r="19" spans="1:4">
      <c r="A19">
        <v>18</v>
      </c>
      <c r="B19" t="s">
        <v>63</v>
      </c>
      <c r="C19">
        <v>3.3899999999999998E-3</v>
      </c>
      <c r="D19">
        <v>3.0000000000000001E-3</v>
      </c>
    </row>
    <row r="20" spans="1:4">
      <c r="A20">
        <v>19</v>
      </c>
      <c r="B20" t="s">
        <v>64</v>
      </c>
      <c r="C20">
        <v>3.2800000000000003E-2</v>
      </c>
      <c r="D20">
        <v>3.3000000000000002E-2</v>
      </c>
    </row>
    <row r="21" spans="1:4">
      <c r="A21">
        <v>20</v>
      </c>
      <c r="B21" t="s">
        <v>65</v>
      </c>
      <c r="C21">
        <v>1.0200000000000001E-2</v>
      </c>
      <c r="D21">
        <v>0.01</v>
      </c>
    </row>
    <row r="22" spans="1:4">
      <c r="A22">
        <v>21</v>
      </c>
      <c r="B22" t="s">
        <v>66</v>
      </c>
      <c r="C22">
        <v>0.1</v>
      </c>
      <c r="D22">
        <v>0.1</v>
      </c>
    </row>
    <row r="23" spans="1:4">
      <c r="A23">
        <v>22</v>
      </c>
      <c r="B23" t="s">
        <v>67</v>
      </c>
      <c r="C23">
        <v>5.3099999999999996E-3</v>
      </c>
      <c r="D23">
        <v>5.0000000000000001E-3</v>
      </c>
    </row>
    <row r="24" spans="1:4">
      <c r="A24">
        <v>23</v>
      </c>
      <c r="B24" t="s">
        <v>68</v>
      </c>
      <c r="C24">
        <v>0.53100000000000003</v>
      </c>
      <c r="D24">
        <v>0.53100000000000003</v>
      </c>
    </row>
    <row r="25" spans="1:4">
      <c r="A25">
        <v>24</v>
      </c>
      <c r="B25" t="s">
        <v>69</v>
      </c>
      <c r="D25">
        <v>0</v>
      </c>
    </row>
    <row r="26" spans="1:4">
      <c r="A26">
        <v>25</v>
      </c>
      <c r="B26" t="s">
        <v>70</v>
      </c>
      <c r="C26">
        <v>3.4099999999999998E-3</v>
      </c>
      <c r="D26">
        <v>3.0000000000000001E-3</v>
      </c>
    </row>
    <row r="27" spans="1:4">
      <c r="A27">
        <v>26</v>
      </c>
      <c r="B27" t="s">
        <v>71</v>
      </c>
      <c r="D27">
        <v>0</v>
      </c>
    </row>
    <row r="28" spans="1:4">
      <c r="A28">
        <v>27</v>
      </c>
      <c r="B28" t="s">
        <v>72</v>
      </c>
      <c r="D28">
        <v>0</v>
      </c>
    </row>
    <row r="29" spans="1:4">
      <c r="A29">
        <v>28</v>
      </c>
      <c r="B29" t="s">
        <v>73</v>
      </c>
      <c r="D29">
        <v>0</v>
      </c>
    </row>
    <row r="30" spans="1:4">
      <c r="A30">
        <v>29</v>
      </c>
      <c r="B30" t="s">
        <v>74</v>
      </c>
      <c r="D30">
        <v>0</v>
      </c>
    </row>
    <row r="31" spans="1:4">
      <c r="A31">
        <v>30</v>
      </c>
      <c r="B31" t="s">
        <v>75</v>
      </c>
      <c r="D31">
        <v>0</v>
      </c>
    </row>
    <row r="32" spans="1:4">
      <c r="A32">
        <v>31</v>
      </c>
      <c r="B32" t="s">
        <v>76</v>
      </c>
      <c r="D32">
        <v>0</v>
      </c>
    </row>
    <row r="34" spans="3:4">
      <c r="D34" s="8"/>
    </row>
    <row r="35" spans="3:4">
      <c r="D35" s="8"/>
    </row>
    <row r="36" spans="3:4">
      <c r="D36" s="8"/>
    </row>
    <row r="37" spans="3:4">
      <c r="D37" s="8"/>
    </row>
    <row r="38" spans="3:4">
      <c r="C38" s="17"/>
      <c r="D38" s="8"/>
    </row>
    <row r="39" spans="3:4">
      <c r="D39" s="8"/>
    </row>
    <row r="40" spans="3:4">
      <c r="D40" s="8"/>
    </row>
    <row r="41" spans="3:4">
      <c r="D41" s="8"/>
    </row>
    <row r="42" spans="3:4">
      <c r="C42" s="17"/>
      <c r="D42" s="8"/>
    </row>
    <row r="43" spans="3:4">
      <c r="D43" s="8"/>
    </row>
    <row r="44" spans="3:4">
      <c r="C44" s="17"/>
      <c r="D44" s="8"/>
    </row>
    <row r="45" spans="3:4">
      <c r="D45" s="8"/>
    </row>
    <row r="46" spans="3:4">
      <c r="C46" s="17"/>
      <c r="D46" s="8"/>
    </row>
    <row r="47" spans="3:4">
      <c r="D47" s="8"/>
    </row>
    <row r="48" spans="3:4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</sheetData>
  <phoneticPr fontId="2" type="noConversion"/>
  <pageMargins left="0.18" right="0.18" top="0.19" bottom="0.18" header="0.18" footer="0.17"/>
  <pageSetup scale="70" fitToWidth="2" fitToHeight="4" orientation="landscape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45"/>
  </sheetPr>
  <dimension ref="A1:D46"/>
  <sheetViews>
    <sheetView zoomScale="75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3" sqref="A33:XFD33"/>
    </sheetView>
  </sheetViews>
  <sheetFormatPr baseColWidth="10" defaultColWidth="8.83203125" defaultRowHeight="12" x14ac:dyDescent="0"/>
  <cols>
    <col min="1" max="1" width="12.6640625" customWidth="1"/>
    <col min="2" max="2" width="46.5" bestFit="1" customWidth="1"/>
    <col min="3" max="3" width="10.83203125" customWidth="1"/>
    <col min="4" max="4" width="10.83203125" style="10" customWidth="1"/>
  </cols>
  <sheetData>
    <row r="1" spans="1:4" s="12" customFormat="1" ht="24">
      <c r="A1" s="15" t="s">
        <v>30</v>
      </c>
      <c r="B1" s="11" t="s">
        <v>0</v>
      </c>
      <c r="C1" s="2" t="s">
        <v>45</v>
      </c>
      <c r="D1" s="49" t="s">
        <v>14</v>
      </c>
    </row>
    <row r="2" spans="1:4">
      <c r="A2">
        <v>1</v>
      </c>
      <c r="B2" t="s">
        <v>78</v>
      </c>
      <c r="D2">
        <v>0</v>
      </c>
    </row>
    <row r="3" spans="1:4">
      <c r="A3">
        <v>2</v>
      </c>
      <c r="B3" t="s">
        <v>48</v>
      </c>
      <c r="D3">
        <v>0</v>
      </c>
    </row>
    <row r="4" spans="1:4">
      <c r="A4">
        <v>3</v>
      </c>
      <c r="B4" t="s">
        <v>46</v>
      </c>
      <c r="D4">
        <v>0</v>
      </c>
    </row>
    <row r="5" spans="1:4">
      <c r="A5">
        <v>4</v>
      </c>
      <c r="B5" t="s">
        <v>79</v>
      </c>
      <c r="D5">
        <v>0</v>
      </c>
    </row>
    <row r="6" spans="1:4">
      <c r="A6">
        <v>5</v>
      </c>
      <c r="B6" t="s">
        <v>50</v>
      </c>
      <c r="D6">
        <v>0</v>
      </c>
    </row>
    <row r="7" spans="1:4">
      <c r="A7">
        <v>6</v>
      </c>
      <c r="B7" t="s">
        <v>51</v>
      </c>
      <c r="C7" s="17">
        <v>6.3600000000000003E-7</v>
      </c>
      <c r="D7" s="17">
        <v>0</v>
      </c>
    </row>
    <row r="8" spans="1:4">
      <c r="A8">
        <v>7</v>
      </c>
      <c r="B8" t="s">
        <v>52</v>
      </c>
      <c r="D8">
        <v>0</v>
      </c>
    </row>
    <row r="9" spans="1:4">
      <c r="A9">
        <v>8</v>
      </c>
      <c r="B9" t="s">
        <v>53</v>
      </c>
      <c r="C9" s="17">
        <v>3.7E-12</v>
      </c>
      <c r="D9" s="17">
        <v>0</v>
      </c>
    </row>
    <row r="10" spans="1:4">
      <c r="A10">
        <v>9</v>
      </c>
      <c r="B10" t="s">
        <v>80</v>
      </c>
      <c r="D10">
        <v>0</v>
      </c>
    </row>
    <row r="11" spans="1:4">
      <c r="A11">
        <v>10</v>
      </c>
      <c r="B11" t="s">
        <v>81</v>
      </c>
      <c r="C11" s="17"/>
      <c r="D11" s="17">
        <v>0</v>
      </c>
    </row>
    <row r="12" spans="1:4">
      <c r="A12">
        <v>11</v>
      </c>
      <c r="B12" t="s">
        <v>82</v>
      </c>
      <c r="D12">
        <v>0</v>
      </c>
    </row>
    <row r="13" spans="1:4">
      <c r="A13">
        <v>12</v>
      </c>
      <c r="B13" t="s">
        <v>83</v>
      </c>
      <c r="D13">
        <v>0</v>
      </c>
    </row>
    <row r="14" spans="1:4">
      <c r="A14">
        <v>13</v>
      </c>
      <c r="B14" t="s">
        <v>84</v>
      </c>
      <c r="C14">
        <v>0.2</v>
      </c>
      <c r="D14">
        <v>0.2</v>
      </c>
    </row>
    <row r="15" spans="1:4">
      <c r="A15">
        <v>14</v>
      </c>
      <c r="B15" t="s">
        <v>85</v>
      </c>
      <c r="D15">
        <v>0</v>
      </c>
    </row>
    <row r="16" spans="1:4">
      <c r="A16">
        <v>15</v>
      </c>
      <c r="B16" t="s">
        <v>60</v>
      </c>
      <c r="D16">
        <v>0</v>
      </c>
    </row>
    <row r="17" spans="1:4">
      <c r="A17">
        <v>16</v>
      </c>
      <c r="B17" t="s">
        <v>86</v>
      </c>
      <c r="C17" s="17">
        <v>4.8E-9</v>
      </c>
      <c r="D17" s="17">
        <v>0</v>
      </c>
    </row>
    <row r="18" spans="1:4">
      <c r="A18">
        <v>17</v>
      </c>
      <c r="B18" t="s">
        <v>87</v>
      </c>
      <c r="C18">
        <v>2.9899999999999999E-2</v>
      </c>
      <c r="D18">
        <v>0.03</v>
      </c>
    </row>
    <row r="19" spans="1:4">
      <c r="A19">
        <v>18</v>
      </c>
      <c r="B19" t="s">
        <v>88</v>
      </c>
      <c r="D19">
        <v>0</v>
      </c>
    </row>
    <row r="20" spans="1:4">
      <c r="A20">
        <v>19</v>
      </c>
      <c r="B20" t="s">
        <v>89</v>
      </c>
      <c r="C20">
        <v>3.39E-4</v>
      </c>
      <c r="D20">
        <v>0</v>
      </c>
    </row>
    <row r="21" spans="1:4">
      <c r="A21">
        <v>20</v>
      </c>
      <c r="B21" t="s">
        <v>90</v>
      </c>
      <c r="C21">
        <v>3.2799999999999999E-3</v>
      </c>
      <c r="D21">
        <v>3.0000000000000001E-3</v>
      </c>
    </row>
    <row r="22" spans="1:4">
      <c r="A22">
        <v>21</v>
      </c>
      <c r="B22" t="s">
        <v>91</v>
      </c>
      <c r="C22">
        <v>3.0500000000000002E-3</v>
      </c>
      <c r="D22">
        <v>3.0000000000000001E-3</v>
      </c>
    </row>
    <row r="23" spans="1:4">
      <c r="A23">
        <v>22</v>
      </c>
      <c r="B23" t="s">
        <v>92</v>
      </c>
      <c r="C23">
        <v>7.9200000000000007E-2</v>
      </c>
      <c r="D23">
        <v>7.9000000000000001E-2</v>
      </c>
    </row>
    <row r="24" spans="1:4">
      <c r="A24">
        <v>23</v>
      </c>
      <c r="B24" t="s">
        <v>93</v>
      </c>
      <c r="C24">
        <v>1.5900000000000001E-3</v>
      </c>
      <c r="D24">
        <v>2E-3</v>
      </c>
    </row>
    <row r="25" spans="1:4">
      <c r="A25">
        <v>24</v>
      </c>
      <c r="B25" t="s">
        <v>94</v>
      </c>
      <c r="C25">
        <v>0.159</v>
      </c>
      <c r="D25">
        <v>0.159</v>
      </c>
    </row>
    <row r="26" spans="1:4">
      <c r="A26">
        <v>25</v>
      </c>
      <c r="B26" t="s">
        <v>95</v>
      </c>
      <c r="C26">
        <v>2.3800000000000001E-4</v>
      </c>
      <c r="D26">
        <v>0</v>
      </c>
    </row>
    <row r="27" spans="1:4">
      <c r="A27">
        <v>26</v>
      </c>
      <c r="B27" t="s">
        <v>97</v>
      </c>
      <c r="C27">
        <v>1.0200000000000001E-3</v>
      </c>
      <c r="D27">
        <v>1E-3</v>
      </c>
    </row>
    <row r="28" spans="1:4">
      <c r="A28">
        <v>27</v>
      </c>
      <c r="B28" t="s">
        <v>73</v>
      </c>
      <c r="C28">
        <v>1.2499999999999999E-8</v>
      </c>
      <c r="D28">
        <v>0</v>
      </c>
    </row>
    <row r="29" spans="1:4">
      <c r="A29">
        <v>28</v>
      </c>
      <c r="B29" t="s">
        <v>74</v>
      </c>
      <c r="C29" s="17">
        <v>1.02E-8</v>
      </c>
      <c r="D29" s="17">
        <v>0</v>
      </c>
    </row>
    <row r="30" spans="1:4">
      <c r="A30">
        <v>29</v>
      </c>
      <c r="B30" t="s">
        <v>75</v>
      </c>
      <c r="C30" s="17">
        <v>1.44E-4</v>
      </c>
      <c r="D30" s="17">
        <v>0</v>
      </c>
    </row>
    <row r="31" spans="1:4">
      <c r="A31">
        <v>30</v>
      </c>
      <c r="B31" t="s">
        <v>98</v>
      </c>
      <c r="C31" s="17"/>
      <c r="D31" s="17">
        <v>0</v>
      </c>
    </row>
    <row r="32" spans="1:4">
      <c r="A32">
        <v>31</v>
      </c>
      <c r="B32" t="s">
        <v>96</v>
      </c>
      <c r="D32">
        <v>0</v>
      </c>
    </row>
    <row r="33" spans="3:4">
      <c r="D33"/>
    </row>
    <row r="38" spans="3:4">
      <c r="C38" s="17"/>
    </row>
    <row r="42" spans="3:4">
      <c r="C42" s="17"/>
    </row>
    <row r="43" spans="3:4">
      <c r="C43" s="17"/>
    </row>
    <row r="44" spans="3:4">
      <c r="C44" s="17"/>
    </row>
    <row r="46" spans="3:4">
      <c r="C46" s="17"/>
    </row>
  </sheetData>
  <phoneticPr fontId="2" type="noConversion"/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indexed="51"/>
  </sheetPr>
  <dimension ref="A1:L33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D27" sqref="D27"/>
    </sheetView>
  </sheetViews>
  <sheetFormatPr baseColWidth="10" defaultColWidth="8.83203125" defaultRowHeight="12" x14ac:dyDescent="0"/>
  <cols>
    <col min="2" max="2" width="29.5" style="32" customWidth="1"/>
    <col min="3" max="5" width="8.83203125" style="32"/>
    <col min="8" max="8" width="11.83203125" customWidth="1"/>
    <col min="9" max="9" width="7.5" customWidth="1"/>
    <col min="10" max="10" width="5" customWidth="1"/>
    <col min="11" max="11" width="5.5" customWidth="1"/>
    <col min="12" max="12" width="32.5" customWidth="1"/>
  </cols>
  <sheetData>
    <row r="1" spans="1:12" ht="13" thickBot="1">
      <c r="A1" s="7" t="s">
        <v>8</v>
      </c>
      <c r="B1" s="31" t="s">
        <v>0</v>
      </c>
      <c r="C1" s="32" t="s">
        <v>21</v>
      </c>
      <c r="D1" s="32" t="s">
        <v>1</v>
      </c>
      <c r="E1" s="32" t="s">
        <v>2</v>
      </c>
      <c r="F1" t="s">
        <v>24</v>
      </c>
      <c r="G1" t="s">
        <v>45</v>
      </c>
      <c r="H1" s="14" t="s">
        <v>39</v>
      </c>
      <c r="I1" s="1" t="s">
        <v>42</v>
      </c>
      <c r="J1" s="1" t="s">
        <v>9</v>
      </c>
      <c r="K1" s="1" t="s">
        <v>40</v>
      </c>
      <c r="L1" s="1" t="s">
        <v>41</v>
      </c>
    </row>
    <row r="2" spans="1:12">
      <c r="A2">
        <v>1</v>
      </c>
      <c r="B2" t="s">
        <v>47</v>
      </c>
      <c r="C2" s="57"/>
      <c r="D2" s="58"/>
      <c r="E2" s="58"/>
      <c r="F2" s="58"/>
      <c r="G2" s="59"/>
    </row>
    <row r="3" spans="1:12">
      <c r="A3">
        <v>2</v>
      </c>
      <c r="B3" t="s">
        <v>48</v>
      </c>
      <c r="C3" s="51"/>
      <c r="D3" s="53"/>
      <c r="E3" s="53"/>
      <c r="F3" s="53"/>
      <c r="G3" s="55"/>
    </row>
    <row r="4" spans="1:12">
      <c r="A4">
        <v>3</v>
      </c>
      <c r="B4" t="s">
        <v>46</v>
      </c>
      <c r="C4" s="51"/>
      <c r="D4" s="53"/>
      <c r="E4" s="53"/>
      <c r="F4" s="53"/>
      <c r="G4" s="55"/>
    </row>
    <row r="5" spans="1:12">
      <c r="A5">
        <v>4</v>
      </c>
      <c r="B5" t="s">
        <v>49</v>
      </c>
      <c r="C5" s="51"/>
      <c r="D5" s="53"/>
      <c r="E5" s="53"/>
      <c r="F5" s="53"/>
      <c r="G5" s="55"/>
    </row>
    <row r="6" spans="1:12">
      <c r="A6">
        <v>5</v>
      </c>
      <c r="B6" t="s">
        <v>50</v>
      </c>
      <c r="C6" s="51"/>
      <c r="D6" s="53"/>
      <c r="E6" s="53"/>
      <c r="F6" s="53"/>
      <c r="G6" s="55"/>
    </row>
    <row r="7" spans="1:12">
      <c r="A7">
        <v>6</v>
      </c>
      <c r="B7" t="s">
        <v>51</v>
      </c>
      <c r="C7" s="51"/>
      <c r="D7" s="53"/>
      <c r="E7" s="53"/>
      <c r="F7" s="53"/>
      <c r="G7" s="55"/>
    </row>
    <row r="8" spans="1:12">
      <c r="A8">
        <v>7</v>
      </c>
      <c r="B8" t="s">
        <v>52</v>
      </c>
      <c r="C8" s="51"/>
      <c r="D8" s="53"/>
      <c r="E8" s="53"/>
      <c r="F8" s="53"/>
      <c r="G8" s="55"/>
    </row>
    <row r="9" spans="1:12">
      <c r="A9">
        <v>8</v>
      </c>
      <c r="B9" t="s">
        <v>53</v>
      </c>
      <c r="C9" s="51"/>
      <c r="D9" s="53"/>
      <c r="E9" s="53"/>
      <c r="F9" s="53"/>
      <c r="G9" s="55"/>
    </row>
    <row r="10" spans="1:12">
      <c r="A10">
        <v>9</v>
      </c>
      <c r="B10" t="s">
        <v>54</v>
      </c>
      <c r="C10" s="51"/>
      <c r="D10" s="53"/>
      <c r="E10" s="53"/>
      <c r="F10" s="53"/>
      <c r="G10" s="55"/>
    </row>
    <row r="11" spans="1:12">
      <c r="A11">
        <v>10</v>
      </c>
      <c r="B11" t="s">
        <v>55</v>
      </c>
      <c r="C11" s="51"/>
      <c r="D11" s="53"/>
      <c r="E11" s="53"/>
      <c r="F11" s="53"/>
      <c r="G11" s="55"/>
    </row>
    <row r="12" spans="1:12">
      <c r="A12">
        <v>11</v>
      </c>
      <c r="B12" t="s">
        <v>56</v>
      </c>
      <c r="C12" s="51"/>
      <c r="D12" s="53"/>
      <c r="E12" s="53"/>
      <c r="F12" s="53"/>
      <c r="G12" s="55"/>
    </row>
    <row r="13" spans="1:12">
      <c r="A13">
        <v>12</v>
      </c>
      <c r="B13" t="s">
        <v>57</v>
      </c>
      <c r="C13" s="51"/>
      <c r="D13" s="53"/>
      <c r="E13" s="53"/>
      <c r="F13" s="53"/>
      <c r="G13" s="55"/>
    </row>
    <row r="14" spans="1:12">
      <c r="A14">
        <v>13</v>
      </c>
      <c r="B14" t="s">
        <v>58</v>
      </c>
      <c r="C14" s="51"/>
      <c r="D14" s="53"/>
      <c r="E14" s="53"/>
      <c r="F14" s="53"/>
      <c r="G14" s="55"/>
    </row>
    <row r="15" spans="1:12">
      <c r="A15">
        <v>14</v>
      </c>
      <c r="B15" t="s">
        <v>59</v>
      </c>
      <c r="C15" s="51"/>
      <c r="D15" s="53"/>
      <c r="E15" s="53"/>
      <c r="F15" s="53"/>
      <c r="G15" s="55"/>
    </row>
    <row r="16" spans="1:12">
      <c r="A16">
        <v>15</v>
      </c>
      <c r="B16" t="s">
        <v>60</v>
      </c>
      <c r="C16" s="51"/>
      <c r="D16" s="53"/>
      <c r="E16" s="53"/>
      <c r="F16" s="53"/>
      <c r="G16" s="55"/>
    </row>
    <row r="17" spans="1:7">
      <c r="A17">
        <v>16</v>
      </c>
      <c r="B17" t="s">
        <v>61</v>
      </c>
      <c r="C17" s="51"/>
      <c r="D17" s="53"/>
      <c r="E17" s="53"/>
      <c r="F17" s="53"/>
      <c r="G17" s="55"/>
    </row>
    <row r="18" spans="1:7">
      <c r="A18">
        <v>17</v>
      </c>
      <c r="B18" t="s">
        <v>62</v>
      </c>
      <c r="C18" s="51"/>
      <c r="D18" s="53"/>
      <c r="E18" s="53"/>
      <c r="F18" s="53"/>
      <c r="G18" s="55"/>
    </row>
    <row r="19" spans="1:7">
      <c r="A19">
        <v>18</v>
      </c>
      <c r="B19" t="s">
        <v>63</v>
      </c>
      <c r="C19" s="51"/>
      <c r="D19" s="53"/>
      <c r="E19" s="53"/>
      <c r="F19" s="53"/>
      <c r="G19" s="55"/>
    </row>
    <row r="20" spans="1:7">
      <c r="A20">
        <v>19</v>
      </c>
      <c r="B20" t="s">
        <v>64</v>
      </c>
      <c r="C20" s="51"/>
      <c r="D20" s="53"/>
      <c r="E20" s="53"/>
      <c r="F20" s="53"/>
      <c r="G20" s="55"/>
    </row>
    <row r="21" spans="1:7">
      <c r="A21">
        <v>20</v>
      </c>
      <c r="B21" t="s">
        <v>65</v>
      </c>
      <c r="C21" s="51"/>
      <c r="D21" s="53"/>
      <c r="E21" s="53"/>
      <c r="F21" s="53"/>
      <c r="G21" s="55"/>
    </row>
    <row r="22" spans="1:7">
      <c r="A22">
        <v>21</v>
      </c>
      <c r="B22" t="s">
        <v>66</v>
      </c>
      <c r="C22" s="51"/>
      <c r="D22" s="53"/>
      <c r="E22" s="53"/>
      <c r="F22" s="53"/>
      <c r="G22" s="55"/>
    </row>
    <row r="23" spans="1:7">
      <c r="A23">
        <v>22</v>
      </c>
      <c r="B23" t="s">
        <v>67</v>
      </c>
      <c r="C23" s="60"/>
      <c r="F23" s="53"/>
      <c r="G23" s="55"/>
    </row>
    <row r="24" spans="1:7" ht="13" thickBot="1">
      <c r="A24">
        <v>23</v>
      </c>
      <c r="B24" t="s">
        <v>68</v>
      </c>
      <c r="C24" s="52"/>
      <c r="D24" s="54"/>
      <c r="E24" s="54"/>
      <c r="F24" s="54"/>
      <c r="G24" s="56"/>
    </row>
    <row r="25" spans="1:7">
      <c r="A25">
        <v>24</v>
      </c>
      <c r="B25" t="s">
        <v>69</v>
      </c>
      <c r="C25" s="33"/>
      <c r="D25" s="33"/>
      <c r="E25" s="33"/>
      <c r="F25" s="33"/>
    </row>
    <row r="26" spans="1:7">
      <c r="A26">
        <v>25</v>
      </c>
      <c r="B26" t="s">
        <v>70</v>
      </c>
      <c r="F26" s="53"/>
    </row>
    <row r="27" spans="1:7">
      <c r="A27">
        <v>26</v>
      </c>
      <c r="B27" t="s">
        <v>71</v>
      </c>
      <c r="F27" s="53"/>
    </row>
    <row r="28" spans="1:7">
      <c r="A28">
        <v>27</v>
      </c>
      <c r="B28" t="s">
        <v>72</v>
      </c>
    </row>
    <row r="29" spans="1:7">
      <c r="A29">
        <v>28</v>
      </c>
      <c r="B29" t="s">
        <v>73</v>
      </c>
    </row>
    <row r="30" spans="1:7">
      <c r="A30">
        <v>29</v>
      </c>
      <c r="B30" t="s">
        <v>74</v>
      </c>
    </row>
    <row r="31" spans="1:7">
      <c r="A31">
        <v>30</v>
      </c>
      <c r="B31" t="s">
        <v>75</v>
      </c>
    </row>
    <row r="32" spans="1:7">
      <c r="A32">
        <v>31</v>
      </c>
      <c r="B32" t="s">
        <v>76</v>
      </c>
    </row>
    <row r="33" spans="1:2">
      <c r="A33">
        <v>32</v>
      </c>
      <c r="B33" t="s">
        <v>77</v>
      </c>
    </row>
  </sheetData>
  <phoneticPr fontId="2" type="noConversion"/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indexed="51"/>
  </sheetPr>
  <dimension ref="A1"/>
  <sheetViews>
    <sheetView workbookViewId="0">
      <selection activeCell="E19" sqref="E19"/>
    </sheetView>
  </sheetViews>
  <sheetFormatPr baseColWidth="10" defaultColWidth="8.83203125" defaultRowHeight="12" x14ac:dyDescent="0"/>
  <cols>
    <col min="1" max="1" width="15.6640625" customWidth="1"/>
  </cols>
  <sheetData/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15"/>
  </sheetPr>
  <dimension ref="A1:I32"/>
  <sheetViews>
    <sheetView zoomScale="110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E36" sqref="E36"/>
    </sheetView>
  </sheetViews>
  <sheetFormatPr baseColWidth="10" defaultColWidth="8.83203125" defaultRowHeight="12" x14ac:dyDescent="0"/>
  <cols>
    <col min="2" max="2" width="20.5" customWidth="1"/>
    <col min="3" max="3" width="9.33203125" bestFit="1" customWidth="1"/>
    <col min="4" max="4" width="13" bestFit="1" customWidth="1"/>
    <col min="5" max="8" width="9.33203125" bestFit="1" customWidth="1"/>
    <col min="9" max="9" width="11" customWidth="1"/>
    <col min="11" max="11" width="7.6640625" customWidth="1"/>
  </cols>
  <sheetData>
    <row r="1" spans="1:9">
      <c r="A1" s="14" t="s">
        <v>37</v>
      </c>
      <c r="B1" s="1" t="s">
        <v>0</v>
      </c>
      <c r="C1" s="1" t="s">
        <v>16</v>
      </c>
      <c r="D1" s="1" t="s">
        <v>17</v>
      </c>
      <c r="E1" s="1" t="s">
        <v>1</v>
      </c>
      <c r="F1" s="1" t="s">
        <v>2</v>
      </c>
      <c r="G1" s="1" t="s">
        <v>18</v>
      </c>
      <c r="H1" s="1" t="s">
        <v>38</v>
      </c>
      <c r="I1" s="1" t="s">
        <v>32</v>
      </c>
    </row>
    <row r="2" spans="1:9">
      <c r="A2" s="96">
        <v>1</v>
      </c>
      <c r="B2" s="96" t="s">
        <v>78</v>
      </c>
      <c r="C2" s="21">
        <v>1</v>
      </c>
      <c r="D2" s="22">
        <v>25.704999923706055</v>
      </c>
      <c r="E2" s="22">
        <v>166.13400268554688</v>
      </c>
      <c r="F2" s="23"/>
      <c r="G2" s="65">
        <v>0.67403328418731689</v>
      </c>
      <c r="H2" s="23"/>
      <c r="I2">
        <v>0</v>
      </c>
    </row>
    <row r="3" spans="1:9">
      <c r="A3" s="97">
        <v>2</v>
      </c>
      <c r="B3" s="97" t="s">
        <v>48</v>
      </c>
      <c r="C3" s="21">
        <v>2</v>
      </c>
      <c r="D3" s="22">
        <v>6.5180001258850098</v>
      </c>
      <c r="E3" s="22">
        <v>91.25</v>
      </c>
      <c r="F3" s="22">
        <v>380.2080078125</v>
      </c>
      <c r="G3" s="65">
        <v>0.8967444896697998</v>
      </c>
      <c r="H3" s="65">
        <v>0.24000020325183868</v>
      </c>
      <c r="I3">
        <v>0</v>
      </c>
    </row>
    <row r="4" spans="1:9">
      <c r="A4" s="98">
        <v>3</v>
      </c>
      <c r="B4" s="98" t="s">
        <v>46</v>
      </c>
      <c r="C4" s="21">
        <v>2.3643693923950195</v>
      </c>
      <c r="D4" s="22">
        <v>5.5879998207092285</v>
      </c>
      <c r="E4" s="22">
        <v>72</v>
      </c>
      <c r="F4" s="22">
        <v>242.42399597167969</v>
      </c>
      <c r="G4" s="65">
        <v>0.84157204627990723</v>
      </c>
      <c r="H4" s="65">
        <v>0.29700028896331787</v>
      </c>
      <c r="I4">
        <v>0</v>
      </c>
    </row>
    <row r="5" spans="1:9">
      <c r="A5" s="99">
        <v>4</v>
      </c>
      <c r="B5" s="99" t="s">
        <v>79</v>
      </c>
      <c r="C5" s="21">
        <v>2.1933743953704834</v>
      </c>
      <c r="D5" s="22">
        <v>12.984999656677246</v>
      </c>
      <c r="E5" s="22">
        <v>41.665000915527344</v>
      </c>
      <c r="F5" s="22">
        <v>127.75</v>
      </c>
      <c r="G5" s="65">
        <v>0.68263232707977295</v>
      </c>
      <c r="H5" s="65">
        <v>0.32614481449127197</v>
      </c>
      <c r="I5">
        <v>0</v>
      </c>
    </row>
    <row r="6" spans="1:9">
      <c r="A6" s="100">
        <v>5</v>
      </c>
      <c r="B6" s="100" t="s">
        <v>50</v>
      </c>
      <c r="C6" s="21">
        <v>2.603158712387085</v>
      </c>
      <c r="D6" s="22">
        <v>6.9809999465942383</v>
      </c>
      <c r="E6" s="22">
        <v>54.636001586914062</v>
      </c>
      <c r="F6" s="22">
        <v>109.5</v>
      </c>
      <c r="G6" s="65">
        <v>0.62864649295806885</v>
      </c>
      <c r="H6" s="65">
        <v>0.49895891547203064</v>
      </c>
      <c r="I6">
        <v>0</v>
      </c>
    </row>
    <row r="7" spans="1:9">
      <c r="A7" s="101">
        <v>6</v>
      </c>
      <c r="B7" s="101" t="s">
        <v>51</v>
      </c>
      <c r="C7" s="21">
        <v>3.2935755252838135</v>
      </c>
      <c r="D7" s="22">
        <v>1.3190000057220459</v>
      </c>
      <c r="E7" s="22">
        <v>40</v>
      </c>
      <c r="F7" s="22">
        <v>143.08000183105469</v>
      </c>
      <c r="G7" s="65">
        <v>0.89841651916503906</v>
      </c>
      <c r="H7" s="65">
        <v>0.27956387400627136</v>
      </c>
      <c r="I7">
        <v>6.3599998156860238E-7</v>
      </c>
    </row>
    <row r="8" spans="1:9">
      <c r="A8" s="102">
        <v>7</v>
      </c>
      <c r="B8" s="102" t="s">
        <v>52</v>
      </c>
      <c r="C8" s="21">
        <v>3.1428446769714355</v>
      </c>
      <c r="D8" s="22">
        <v>3.8050000667572021</v>
      </c>
      <c r="E8" s="22">
        <v>14.25</v>
      </c>
      <c r="F8" s="22">
        <v>36.5</v>
      </c>
      <c r="G8" s="65">
        <v>0.27869310975074768</v>
      </c>
      <c r="H8" s="65">
        <v>0.39041095972061157</v>
      </c>
      <c r="I8">
        <v>0</v>
      </c>
    </row>
    <row r="9" spans="1:9">
      <c r="A9" s="103">
        <v>8</v>
      </c>
      <c r="B9" s="103" t="s">
        <v>53</v>
      </c>
      <c r="C9" s="21">
        <v>3.3980269432067871</v>
      </c>
      <c r="D9" s="22">
        <v>4.5000001788139343E-2</v>
      </c>
      <c r="E9" s="22">
        <v>0.94999998807907104</v>
      </c>
      <c r="F9" s="22">
        <v>1.8250000476837158</v>
      </c>
      <c r="G9" s="65">
        <v>0.86436754465103149</v>
      </c>
      <c r="H9" s="65">
        <v>0.52054792642593384</v>
      </c>
      <c r="I9">
        <v>3.6999999418474427E-12</v>
      </c>
    </row>
    <row r="10" spans="1:9">
      <c r="A10" s="104">
        <v>9</v>
      </c>
      <c r="B10" s="104" t="s">
        <v>80</v>
      </c>
      <c r="C10" s="21">
        <v>2.6978905200958252</v>
      </c>
      <c r="D10" s="22">
        <v>11.402999877929688</v>
      </c>
      <c r="E10" s="22">
        <v>2.5</v>
      </c>
      <c r="F10" s="22">
        <v>17.5</v>
      </c>
      <c r="G10" s="65">
        <v>0.89300346374511719</v>
      </c>
      <c r="H10" s="65">
        <v>0.1428571492433548</v>
      </c>
      <c r="I10">
        <v>0</v>
      </c>
    </row>
    <row r="11" spans="1:9">
      <c r="A11" s="105">
        <v>10</v>
      </c>
      <c r="B11" s="105" t="s">
        <v>81</v>
      </c>
      <c r="C11" s="21">
        <v>2.6956794261932373</v>
      </c>
      <c r="D11" s="22">
        <v>10.87399959564209</v>
      </c>
      <c r="E11" s="22">
        <v>3</v>
      </c>
      <c r="F11" s="22">
        <v>21</v>
      </c>
      <c r="G11" s="65">
        <v>0.89029997587203979</v>
      </c>
      <c r="H11" s="65">
        <v>0.1428571492433548</v>
      </c>
      <c r="I11">
        <v>0</v>
      </c>
    </row>
    <row r="12" spans="1:9">
      <c r="A12" s="106">
        <v>11</v>
      </c>
      <c r="B12" s="106" t="s">
        <v>82</v>
      </c>
      <c r="C12" s="21">
        <v>2.3368384838104248</v>
      </c>
      <c r="D12" s="22">
        <v>9.8870000839233398</v>
      </c>
      <c r="E12" s="22">
        <v>2</v>
      </c>
      <c r="F12" s="22">
        <v>14</v>
      </c>
      <c r="G12" s="65">
        <v>0.87305867671966553</v>
      </c>
      <c r="H12" s="65">
        <v>0.1428571492433548</v>
      </c>
      <c r="I12">
        <v>0</v>
      </c>
    </row>
    <row r="13" spans="1:9">
      <c r="A13" s="107">
        <v>12</v>
      </c>
      <c r="B13" s="107" t="s">
        <v>83</v>
      </c>
      <c r="C13" s="21">
        <v>2.6396303176879883</v>
      </c>
      <c r="D13" s="22">
        <v>40.022998809814453</v>
      </c>
      <c r="E13" s="22">
        <v>2</v>
      </c>
      <c r="F13" s="22">
        <v>17.639999389648438</v>
      </c>
      <c r="G13" s="65">
        <v>0.88771241903305054</v>
      </c>
      <c r="H13" s="65">
        <v>0.11337868869304657</v>
      </c>
      <c r="I13">
        <v>0.64800000190734863</v>
      </c>
    </row>
    <row r="14" spans="1:9">
      <c r="A14" s="108">
        <v>13</v>
      </c>
      <c r="B14" s="108" t="s">
        <v>84</v>
      </c>
      <c r="C14" s="21">
        <v>2.1038961410522461</v>
      </c>
      <c r="D14" s="22">
        <v>3.6140000820159912</v>
      </c>
      <c r="E14" s="22">
        <v>5</v>
      </c>
      <c r="F14" s="22">
        <v>18</v>
      </c>
      <c r="G14" s="65">
        <v>0.91161209344863892</v>
      </c>
      <c r="H14" s="65">
        <v>0.27777779102325439</v>
      </c>
      <c r="I14">
        <v>0.23309999704360962</v>
      </c>
    </row>
    <row r="15" spans="1:9">
      <c r="A15" s="109">
        <v>14</v>
      </c>
      <c r="B15" s="109" t="s">
        <v>85</v>
      </c>
      <c r="C15" s="21">
        <v>3.3936710357666016</v>
      </c>
      <c r="D15" s="22">
        <v>3.9649999141693115</v>
      </c>
      <c r="E15" s="22">
        <v>2</v>
      </c>
      <c r="F15" s="22">
        <v>18</v>
      </c>
      <c r="G15" s="65">
        <v>0.88088160753250122</v>
      </c>
      <c r="H15" s="65">
        <v>0.1111111119389534</v>
      </c>
      <c r="I15">
        <v>0</v>
      </c>
    </row>
    <row r="16" spans="1:9">
      <c r="A16" s="110">
        <v>15</v>
      </c>
      <c r="B16" s="110" t="s">
        <v>60</v>
      </c>
      <c r="C16" s="21">
        <v>3.049030065536499</v>
      </c>
      <c r="D16" s="22">
        <v>9.0000003576278687E-2</v>
      </c>
      <c r="E16" s="22">
        <v>2</v>
      </c>
      <c r="F16" s="22">
        <v>5</v>
      </c>
      <c r="G16" s="65">
        <v>0.84795600175857544</v>
      </c>
      <c r="H16" s="65">
        <v>0.40000000596046448</v>
      </c>
      <c r="I16">
        <v>2.2899999748915434E-4</v>
      </c>
    </row>
    <row r="17" spans="1:9">
      <c r="A17" s="111">
        <v>16</v>
      </c>
      <c r="B17" s="111" t="s">
        <v>86</v>
      </c>
      <c r="C17" s="21">
        <v>3.3721976280212402</v>
      </c>
      <c r="D17" s="22">
        <v>0.62900000810623169</v>
      </c>
      <c r="E17" s="22">
        <v>15</v>
      </c>
      <c r="F17" s="22">
        <v>45</v>
      </c>
      <c r="G17" s="65">
        <v>0.7796514630317688</v>
      </c>
      <c r="H17" s="65">
        <v>0.3333333432674408</v>
      </c>
      <c r="I17">
        <v>0.29899999499320984</v>
      </c>
    </row>
    <row r="18" spans="1:9">
      <c r="A18" s="112">
        <v>17</v>
      </c>
      <c r="B18" s="112" t="s">
        <v>87</v>
      </c>
      <c r="C18" s="21">
        <v>3.7535974979400635</v>
      </c>
      <c r="D18" s="22">
        <v>14.97700023651123</v>
      </c>
      <c r="E18" s="22">
        <v>0.3449999988079071</v>
      </c>
      <c r="F18" s="22">
        <v>2</v>
      </c>
      <c r="G18" s="65">
        <v>0.88553255796432495</v>
      </c>
      <c r="H18" s="65">
        <v>0.17249999940395355</v>
      </c>
      <c r="I18">
        <v>2.9899999499320984E-2</v>
      </c>
    </row>
    <row r="19" spans="1:9">
      <c r="A19" s="113">
        <v>18</v>
      </c>
      <c r="B19" s="113" t="s">
        <v>88</v>
      </c>
      <c r="C19" s="21">
        <v>3.4008297920227051</v>
      </c>
      <c r="D19" s="22">
        <v>1.0740000009536743</v>
      </c>
      <c r="E19" s="22">
        <v>0.9570000171661377</v>
      </c>
      <c r="F19" s="22">
        <v>2</v>
      </c>
      <c r="G19" s="65">
        <v>0.95254480838775635</v>
      </c>
      <c r="H19" s="65">
        <v>0.47850000858306885</v>
      </c>
      <c r="I19">
        <v>3.3899999689310789E-3</v>
      </c>
    </row>
    <row r="20" spans="1:9">
      <c r="A20" s="114">
        <v>19</v>
      </c>
      <c r="B20" s="114" t="s">
        <v>89</v>
      </c>
      <c r="C20" s="21">
        <v>4.1513447761535645</v>
      </c>
      <c r="D20" s="22">
        <v>1.2619999647140503</v>
      </c>
      <c r="E20" s="22">
        <v>0.94999998807907104</v>
      </c>
      <c r="F20" s="22">
        <v>2.75</v>
      </c>
      <c r="G20" s="65">
        <v>0.89902544021606445</v>
      </c>
      <c r="H20" s="65">
        <v>0.34545454382896423</v>
      </c>
      <c r="I20">
        <v>3.3139001578092575E-2</v>
      </c>
    </row>
    <row r="21" spans="1:9">
      <c r="A21" s="115">
        <v>20</v>
      </c>
      <c r="B21" s="115" t="s">
        <v>90</v>
      </c>
      <c r="C21" s="21">
        <v>3.5781121253967285</v>
      </c>
      <c r="D21" s="22">
        <v>0.25</v>
      </c>
      <c r="E21" s="22">
        <v>0.42500001192092896</v>
      </c>
      <c r="F21" s="22">
        <v>2</v>
      </c>
      <c r="G21" s="65">
        <v>0.67591714859008789</v>
      </c>
      <c r="H21" s="65">
        <v>0.21250000596046448</v>
      </c>
      <c r="I21">
        <v>1.3480000197887421E-2</v>
      </c>
    </row>
    <row r="22" spans="1:9">
      <c r="A22" s="116">
        <v>21</v>
      </c>
      <c r="B22" s="116" t="s">
        <v>91</v>
      </c>
      <c r="C22" s="21">
        <v>4.8108015060424805</v>
      </c>
      <c r="D22" s="22">
        <v>0.29199999570846558</v>
      </c>
      <c r="E22" s="22">
        <v>0.45899999141693115</v>
      </c>
      <c r="F22" s="22">
        <v>2.3810000419616699</v>
      </c>
      <c r="G22" s="65">
        <v>0.88810032606124878</v>
      </c>
      <c r="H22" s="65">
        <v>0.1927761435508728</v>
      </c>
      <c r="I22">
        <v>0.10305000096559525</v>
      </c>
    </row>
    <row r="23" spans="1:9">
      <c r="A23" s="117">
        <v>22</v>
      </c>
      <c r="B23" s="117" t="s">
        <v>92</v>
      </c>
      <c r="C23" s="21">
        <v>3.9619276523590088</v>
      </c>
      <c r="D23" s="22">
        <v>4.5760002136230469</v>
      </c>
      <c r="E23" s="22">
        <v>0.44999998807907104</v>
      </c>
      <c r="F23" s="22">
        <v>0.92000001668930054</v>
      </c>
      <c r="G23" s="65">
        <v>0.89127963781356812</v>
      </c>
      <c r="H23" s="65">
        <v>0.4891304075717926</v>
      </c>
      <c r="I23">
        <v>8.4509998559951782E-2</v>
      </c>
    </row>
    <row r="24" spans="1:9">
      <c r="A24" s="118">
        <v>23</v>
      </c>
      <c r="B24" s="118" t="s">
        <v>93</v>
      </c>
      <c r="C24" s="21">
        <v>4.1160702705383301</v>
      </c>
      <c r="D24" s="22">
        <v>3.4389998912811279</v>
      </c>
      <c r="E24" s="22">
        <v>0.44999998807907104</v>
      </c>
      <c r="F24" s="22">
        <v>0.82999998331069946</v>
      </c>
      <c r="G24" s="65">
        <v>0.90589368343353271</v>
      </c>
      <c r="H24" s="65">
        <v>0.54216867685317993</v>
      </c>
      <c r="I24">
        <v>0.53259003162384033</v>
      </c>
    </row>
    <row r="25" spans="1:9">
      <c r="A25" s="119">
        <v>24</v>
      </c>
      <c r="B25" s="119" t="s">
        <v>94</v>
      </c>
      <c r="C25" s="21">
        <v>4.1635231971740723</v>
      </c>
      <c r="D25" s="22">
        <v>2.244999885559082</v>
      </c>
      <c r="E25" s="22">
        <v>0.48600000143051147</v>
      </c>
      <c r="F25" s="22">
        <v>2.2060000896453857</v>
      </c>
      <c r="G25" s="65">
        <v>0.89053630828857422</v>
      </c>
      <c r="H25" s="65">
        <v>0.22030824422836304</v>
      </c>
      <c r="I25">
        <v>0.15899999439716339</v>
      </c>
    </row>
    <row r="26" spans="1:9">
      <c r="A26" s="120">
        <v>25</v>
      </c>
      <c r="B26" s="120" t="s">
        <v>95</v>
      </c>
      <c r="C26" s="21">
        <v>4.8909764289855957</v>
      </c>
      <c r="D26" s="22">
        <v>4.3299999088048935E-2</v>
      </c>
      <c r="E26" s="22">
        <v>0.10199999809265137</v>
      </c>
      <c r="F26" s="22">
        <v>0.53299999237060547</v>
      </c>
      <c r="G26" s="65">
        <v>0.89927822351455688</v>
      </c>
      <c r="H26" s="65">
        <v>0.19136960804462433</v>
      </c>
      <c r="I26">
        <v>3.6479998379945755E-3</v>
      </c>
    </row>
    <row r="27" spans="1:9">
      <c r="A27" s="121">
        <v>26</v>
      </c>
      <c r="B27" s="121" t="s">
        <v>97</v>
      </c>
      <c r="C27" s="21">
        <v>4.453864574432373</v>
      </c>
      <c r="D27" s="22">
        <v>4.3999999761581421E-3</v>
      </c>
      <c r="E27" s="22">
        <v>0.68300002813339233</v>
      </c>
      <c r="F27" s="22">
        <v>2.0529999732971191</v>
      </c>
      <c r="G27" s="65">
        <v>0.41636210680007935</v>
      </c>
      <c r="H27" s="65">
        <v>0.33268389105796814</v>
      </c>
      <c r="I27">
        <v>1.0199999669566751E-3</v>
      </c>
    </row>
    <row r="28" spans="1:9">
      <c r="A28" s="122">
        <v>27</v>
      </c>
      <c r="B28" s="122" t="s">
        <v>73</v>
      </c>
      <c r="C28" s="21">
        <v>3.8257973194122314</v>
      </c>
      <c r="D28" s="22">
        <v>0.41699999570846558</v>
      </c>
      <c r="E28" s="22">
        <v>3.7999998778104782E-2</v>
      </c>
      <c r="F28" s="22">
        <v>4.5</v>
      </c>
      <c r="G28" s="65">
        <v>1.4594470150768757E-2</v>
      </c>
      <c r="H28" s="65">
        <v>8.4444442763924599E-3</v>
      </c>
      <c r="I28">
        <v>1.2500000146076218E-8</v>
      </c>
    </row>
    <row r="29" spans="1:9">
      <c r="A29" s="123">
        <v>28</v>
      </c>
      <c r="B29" s="123" t="s">
        <v>74</v>
      </c>
      <c r="C29" s="21">
        <v>4.8155288696289062</v>
      </c>
      <c r="D29" s="22">
        <v>0.11299999803304672</v>
      </c>
      <c r="E29" s="22">
        <v>3.9999999105930328E-2</v>
      </c>
      <c r="F29" s="22">
        <v>13.829999923706055</v>
      </c>
      <c r="G29" s="65">
        <v>0.7987208366394043</v>
      </c>
      <c r="H29" s="65">
        <v>2.8922632336616516E-3</v>
      </c>
      <c r="I29">
        <v>1.0199999955773364E-8</v>
      </c>
    </row>
    <row r="30" spans="1:9">
      <c r="A30" s="124">
        <v>29</v>
      </c>
      <c r="B30" s="124" t="s">
        <v>75</v>
      </c>
      <c r="C30" s="21">
        <v>1</v>
      </c>
      <c r="D30" s="22">
        <v>3.5000001080334187E-3</v>
      </c>
      <c r="E30" s="22">
        <v>0.27500000596046448</v>
      </c>
      <c r="F30" s="22">
        <v>4.379000186920166</v>
      </c>
      <c r="G30" s="65">
        <v>9.0499943325994536E-6</v>
      </c>
      <c r="H30" s="23"/>
      <c r="I30">
        <v>1.4400000509340316E-4</v>
      </c>
    </row>
    <row r="31" spans="1:9">
      <c r="A31" s="125">
        <v>30</v>
      </c>
      <c r="B31" s="125" t="s">
        <v>98</v>
      </c>
      <c r="C31" s="21">
        <v>1</v>
      </c>
      <c r="D31" s="22">
        <v>0.48399999737739563</v>
      </c>
      <c r="E31" s="23"/>
      <c r="F31" s="23"/>
      <c r="G31" s="65">
        <v>3.6965126637369394E-3</v>
      </c>
      <c r="H31" s="23"/>
      <c r="I31">
        <v>0</v>
      </c>
    </row>
    <row r="32" spans="1:9">
      <c r="A32" s="126">
        <v>31</v>
      </c>
      <c r="B32" s="126" t="s">
        <v>96</v>
      </c>
      <c r="C32" s="21">
        <v>4.3703641891479492</v>
      </c>
      <c r="D32" s="23"/>
      <c r="E32" s="23"/>
      <c r="F32" s="23"/>
      <c r="G32" s="23"/>
      <c r="H32" s="23"/>
      <c r="I32">
        <v>2.1442005634307861</v>
      </c>
    </row>
  </sheetData>
  <phoneticPr fontId="2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5"/>
  </sheetPr>
  <dimension ref="A1:AF31"/>
  <sheetViews>
    <sheetView tabSelected="1" workbookViewId="0">
      <pane xSplit="3" ySplit="1" topLeftCell="S2" activePane="bottomRight" state="frozen"/>
      <selection pane="topRight" activeCell="D1" sqref="D1"/>
      <selection pane="bottomLeft" activeCell="A2" sqref="A2"/>
      <selection pane="bottomRight" activeCell="Z18" sqref="Z18:AA18"/>
    </sheetView>
  </sheetViews>
  <sheetFormatPr baseColWidth="10" defaultColWidth="8.83203125" defaultRowHeight="12" x14ac:dyDescent="0"/>
  <cols>
    <col min="1" max="1" width="19.6640625" customWidth="1"/>
    <col min="2" max="2" width="9.33203125" bestFit="1" customWidth="1"/>
    <col min="3" max="3" width="4.5" customWidth="1"/>
    <col min="4" max="4" width="9.33203125" bestFit="1" customWidth="1"/>
    <col min="8" max="16" width="12.5" bestFit="1" customWidth="1"/>
    <col min="19" max="21" width="9.33203125" bestFit="1" customWidth="1"/>
    <col min="24" max="24" width="9.33203125" bestFit="1" customWidth="1"/>
  </cols>
  <sheetData>
    <row r="1" spans="1:32">
      <c r="A1" t="s">
        <v>19</v>
      </c>
      <c r="B1" t="s">
        <v>1</v>
      </c>
      <c r="C1" t="s">
        <v>20</v>
      </c>
      <c r="D1" t="s">
        <v>99</v>
      </c>
      <c r="E1" t="s">
        <v>78</v>
      </c>
      <c r="F1" t="s">
        <v>48</v>
      </c>
      <c r="G1" t="s">
        <v>46</v>
      </c>
      <c r="H1" t="s">
        <v>79</v>
      </c>
      <c r="I1" t="s">
        <v>50</v>
      </c>
      <c r="J1" t="s">
        <v>51</v>
      </c>
      <c r="K1" t="s">
        <v>52</v>
      </c>
      <c r="L1" t="s">
        <v>53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60</v>
      </c>
      <c r="T1" t="s">
        <v>86</v>
      </c>
      <c r="U1" t="s">
        <v>87</v>
      </c>
      <c r="V1" t="s">
        <v>88</v>
      </c>
      <c r="W1" t="s">
        <v>89</v>
      </c>
      <c r="X1" t="s">
        <v>90</v>
      </c>
      <c r="Y1" t="s">
        <v>91</v>
      </c>
      <c r="Z1" t="s">
        <v>92</v>
      </c>
      <c r="AA1" t="s">
        <v>93</v>
      </c>
      <c r="AB1" t="s">
        <v>94</v>
      </c>
      <c r="AC1" t="s">
        <v>95</v>
      </c>
      <c r="AD1" t="s">
        <v>97</v>
      </c>
      <c r="AE1" t="s">
        <v>73</v>
      </c>
      <c r="AF1" t="s">
        <v>74</v>
      </c>
    </row>
    <row r="2" spans="1:32">
      <c r="A2" t="s">
        <v>78</v>
      </c>
      <c r="B2">
        <v>166.13400268554688</v>
      </c>
      <c r="C2">
        <v>54.154155731201172</v>
      </c>
      <c r="F2" s="169">
        <v>23.138181686401367</v>
      </c>
      <c r="G2" s="47">
        <v>11.383298873901367</v>
      </c>
      <c r="H2" s="170">
        <v>46.722255706787109</v>
      </c>
      <c r="I2" s="84">
        <v>16.264850616455078</v>
      </c>
      <c r="J2" s="29">
        <v>0.63909590244293213</v>
      </c>
      <c r="K2" s="26">
        <v>0.87615197896957397</v>
      </c>
      <c r="L2" s="24">
        <v>8.9546854724176228E-5</v>
      </c>
      <c r="M2" s="26">
        <v>0.99294227361679077</v>
      </c>
      <c r="N2" s="30">
        <v>1.8839913606643677</v>
      </c>
      <c r="O2" s="37">
        <v>2.3275892734527588</v>
      </c>
      <c r="P2" s="67">
        <v>5.9094367027282715</v>
      </c>
      <c r="Q2" s="28">
        <v>1.7461925745010376</v>
      </c>
      <c r="S2" s="24">
        <v>1.0858915047720075E-3</v>
      </c>
      <c r="T2" s="24">
        <v>6.8407975137233734E-2</v>
      </c>
      <c r="U2" s="24">
        <v>1.282059121876955E-2</v>
      </c>
      <c r="V2" s="24">
        <v>1.3214795850217342E-2</v>
      </c>
      <c r="X2" s="24">
        <v>2.3353673168458045E-4</v>
      </c>
    </row>
    <row r="3" spans="1:32">
      <c r="A3" t="s">
        <v>48</v>
      </c>
      <c r="B3">
        <v>91.25</v>
      </c>
      <c r="C3">
        <v>9.4220657348632812</v>
      </c>
      <c r="G3" s="168">
        <v>33.253517150878906</v>
      </c>
      <c r="J3" s="26">
        <v>0.57940196990966797</v>
      </c>
      <c r="L3" s="24">
        <v>2.1440975251607597E-4</v>
      </c>
      <c r="M3" s="66">
        <v>9.4225387573242188</v>
      </c>
      <c r="N3" s="83">
        <v>6.5537199974060059</v>
      </c>
      <c r="O3" s="150">
        <v>4.2284283638000488</v>
      </c>
      <c r="P3" s="167">
        <v>25.039337158203125</v>
      </c>
      <c r="Q3" s="34">
        <v>0.79842901229858398</v>
      </c>
      <c r="R3" s="38">
        <v>1.9271426200866699</v>
      </c>
      <c r="S3" s="24">
        <v>2.5211045518517494E-2</v>
      </c>
    </row>
    <row r="4" spans="1:32">
      <c r="A4" t="s">
        <v>46</v>
      </c>
      <c r="B4">
        <v>72</v>
      </c>
      <c r="C4">
        <v>11.40681266784668</v>
      </c>
      <c r="G4" s="166">
        <v>29.090879440307617</v>
      </c>
      <c r="H4" s="164">
        <v>23.748517990112305</v>
      </c>
      <c r="I4" s="159">
        <v>6.0293612480163574</v>
      </c>
      <c r="J4" s="35">
        <v>1.7233684062957764</v>
      </c>
      <c r="L4" s="24">
        <v>1.0592195903882384E-3</v>
      </c>
    </row>
    <row r="5" spans="1:32">
      <c r="A5" t="s">
        <v>79</v>
      </c>
      <c r="B5">
        <v>41.665000915527344</v>
      </c>
      <c r="C5">
        <v>13.223124504089355</v>
      </c>
      <c r="H5" s="87">
        <v>8.3037500381469727</v>
      </c>
      <c r="I5" s="165">
        <v>10.26082706451416</v>
      </c>
      <c r="J5" s="161">
        <v>4.8715510368347168</v>
      </c>
      <c r="K5" s="141">
        <v>3.2975456714630127</v>
      </c>
      <c r="L5" s="24">
        <v>2.1525186020880938E-3</v>
      </c>
      <c r="N5" s="34">
        <v>0.33425068855285645</v>
      </c>
      <c r="T5" s="35">
        <v>0.99599134922027588</v>
      </c>
      <c r="U5" s="34">
        <v>0.34608462452888489</v>
      </c>
      <c r="V5" s="24">
        <v>1.9040433689951897E-2</v>
      </c>
      <c r="X5" s="24">
        <v>2.1574348211288452E-3</v>
      </c>
      <c r="AE5" s="24">
        <v>8.5251526907086372E-3</v>
      </c>
    </row>
    <row r="6" spans="1:32">
      <c r="A6" t="s">
        <v>50</v>
      </c>
      <c r="B6">
        <v>54.636001586914062</v>
      </c>
      <c r="C6">
        <v>20.289270401000977</v>
      </c>
      <c r="I6" s="163">
        <v>13.381882667541504</v>
      </c>
      <c r="J6" s="162">
        <v>9.8998317718505859</v>
      </c>
      <c r="K6" s="161">
        <v>6.472137451171875</v>
      </c>
      <c r="L6" s="24">
        <v>6.1705457046627998E-3</v>
      </c>
      <c r="N6" s="38">
        <v>1.2107229232788086</v>
      </c>
      <c r="T6" s="40">
        <v>1.0725535154342651</v>
      </c>
      <c r="U6" s="41">
        <v>1.8711209297180176</v>
      </c>
      <c r="V6" s="29">
        <v>0.1764647364616394</v>
      </c>
      <c r="W6" s="25">
        <v>6.412399560213089E-2</v>
      </c>
      <c r="X6" s="25">
        <v>6.4493574202060699E-2</v>
      </c>
      <c r="AC6" s="24">
        <v>1.0269009362673387E-4</v>
      </c>
      <c r="AE6" s="25">
        <v>0.12712636590003967</v>
      </c>
    </row>
    <row r="7" spans="1:32">
      <c r="A7" t="s">
        <v>51</v>
      </c>
      <c r="B7">
        <v>40</v>
      </c>
      <c r="C7">
        <v>4.0633392333984375</v>
      </c>
      <c r="D7" s="24">
        <v>4.8218345227724058E-7</v>
      </c>
      <c r="I7" s="128">
        <v>30.768484115600586</v>
      </c>
      <c r="J7" s="140">
        <v>3.0063455104827881</v>
      </c>
      <c r="U7" s="150">
        <v>1.8625248670578003</v>
      </c>
      <c r="V7" s="29">
        <v>0.16625562310218811</v>
      </c>
      <c r="Y7" s="24">
        <v>5.2763312123715878E-4</v>
      </c>
      <c r="Z7" s="24">
        <v>1.5958758071064949E-2</v>
      </c>
      <c r="AA7" s="24">
        <v>1.2984243221580982E-2</v>
      </c>
      <c r="AB7" s="25">
        <v>9.7720332443714142E-2</v>
      </c>
      <c r="AC7" s="24">
        <v>1.7532332276459783E-4</v>
      </c>
      <c r="AD7" s="24">
        <v>7.0469296770170331E-4</v>
      </c>
      <c r="AE7" s="24">
        <v>1.4224839396774769E-3</v>
      </c>
      <c r="AF7" s="24">
        <v>3.5533506888896227E-3</v>
      </c>
    </row>
    <row r="8" spans="1:32">
      <c r="A8" t="s">
        <v>52</v>
      </c>
      <c r="B8">
        <v>14.25</v>
      </c>
      <c r="C8">
        <v>10.278623580932617</v>
      </c>
      <c r="K8" s="77">
        <v>1.4979979991912842</v>
      </c>
      <c r="L8" s="24">
        <v>3.0247066752053797E-4</v>
      </c>
      <c r="S8" s="25">
        <v>1.4553344808518887E-2</v>
      </c>
      <c r="T8" s="70">
        <v>0.536673903465271</v>
      </c>
      <c r="U8" s="145">
        <v>1.299159049987793</v>
      </c>
      <c r="V8" s="25">
        <v>2.373097650706768E-2</v>
      </c>
      <c r="W8" s="39">
        <v>0.41587108373641968</v>
      </c>
      <c r="X8" s="24">
        <v>2.6294619310647249E-3</v>
      </c>
      <c r="Z8" s="24">
        <v>1.1064180871471763E-3</v>
      </c>
      <c r="AA8" s="25">
        <v>2.1004561334848404E-2</v>
      </c>
      <c r="AB8" s="24">
        <v>1.3028719695284963E-3</v>
      </c>
      <c r="AE8" s="28">
        <v>0.14595842361450195</v>
      </c>
      <c r="AF8" s="24">
        <v>1.1085894890129566E-2</v>
      </c>
    </row>
    <row r="9" spans="1:32">
      <c r="A9" t="s">
        <v>53</v>
      </c>
      <c r="B9">
        <v>0.94999998807907104</v>
      </c>
      <c r="C9">
        <v>0.12885083258152008</v>
      </c>
      <c r="D9" s="22">
        <v>8.2222215147531585E-11</v>
      </c>
      <c r="Y9" s="45">
        <v>4.6396534889936447E-2</v>
      </c>
      <c r="AB9" s="135">
        <v>0.77115541696548462</v>
      </c>
      <c r="AC9" s="29">
        <v>3.5972453188151121E-3</v>
      </c>
    </row>
    <row r="10" spans="1:32">
      <c r="A10" t="s">
        <v>80</v>
      </c>
      <c r="B10">
        <v>2.5</v>
      </c>
      <c r="C10">
        <v>0.26749134063720703</v>
      </c>
      <c r="M10" s="77">
        <v>0.26230326294898987</v>
      </c>
      <c r="N10" s="153">
        <v>0.30049192905426025</v>
      </c>
      <c r="P10" s="158">
        <v>1.0533071756362915</v>
      </c>
      <c r="R10" s="48">
        <v>0.48819246888160706</v>
      </c>
      <c r="T10" s="28">
        <v>2.4872161448001862E-2</v>
      </c>
      <c r="U10" s="28">
        <v>2.3645929992198944E-2</v>
      </c>
      <c r="X10" s="24">
        <v>2.1496538465726189E-5</v>
      </c>
      <c r="Z10" s="27">
        <v>4.0980547666549683E-2</v>
      </c>
      <c r="AA10" s="37">
        <v>3.3041901886463165E-2</v>
      </c>
      <c r="AB10" s="25">
        <v>5.651719868183136E-3</v>
      </c>
    </row>
    <row r="11" spans="1:32">
      <c r="A11" t="s">
        <v>81</v>
      </c>
      <c r="B11">
        <v>3</v>
      </c>
      <c r="C11">
        <v>0.32910007238388062</v>
      </c>
      <c r="I11" s="29">
        <v>1.3379482552409172E-2</v>
      </c>
      <c r="M11" s="26">
        <v>1.7970841377973557E-2</v>
      </c>
      <c r="N11" s="79">
        <v>0.168058842420578</v>
      </c>
      <c r="P11" s="95">
        <v>1.6243360042572021</v>
      </c>
      <c r="R11" s="156">
        <v>0.64320933818817139</v>
      </c>
      <c r="S11" s="24">
        <v>3.7261945544742048E-4</v>
      </c>
      <c r="T11" s="26">
        <v>1.825750432908535E-2</v>
      </c>
      <c r="U11" s="35">
        <v>6.8878501653671265E-2</v>
      </c>
      <c r="V11" s="24">
        <v>1.3642085832543671E-4</v>
      </c>
      <c r="W11" s="28">
        <v>3.1593259423971176E-2</v>
      </c>
      <c r="X11" s="24">
        <v>9.2009409854654223E-5</v>
      </c>
      <c r="Y11" s="24">
        <v>8.3201442612335086E-4</v>
      </c>
      <c r="Z11" s="36">
        <v>5.0330117344856262E-2</v>
      </c>
      <c r="AA11" s="26">
        <v>1.7324665561318398E-2</v>
      </c>
      <c r="AB11" s="25">
        <v>5.9266658499836922E-3</v>
      </c>
      <c r="AC11" s="24">
        <v>2.1266459953039885E-5</v>
      </c>
      <c r="AE11" s="29">
        <v>1.0180165059864521E-2</v>
      </c>
    </row>
    <row r="12" spans="1:32">
      <c r="A12" t="s">
        <v>82</v>
      </c>
      <c r="B12">
        <v>2</v>
      </c>
      <c r="C12">
        <v>0.25388264656066895</v>
      </c>
      <c r="M12" s="26">
        <v>1.1697554029524326E-2</v>
      </c>
      <c r="N12" s="43">
        <v>0.18483582139015198</v>
      </c>
      <c r="O12" s="44">
        <v>5.6031946092844009E-2</v>
      </c>
      <c r="P12" s="157">
        <v>1.1433539390563965</v>
      </c>
      <c r="R12" s="149">
        <v>0.23099417984485626</v>
      </c>
      <c r="T12" s="34">
        <v>1.4342937618494034E-2</v>
      </c>
      <c r="U12" s="37">
        <v>2.727162279188633E-2</v>
      </c>
      <c r="V12" s="24">
        <v>1.0437527816975489E-4</v>
      </c>
      <c r="Z12" s="35">
        <v>4.7264203429222107E-2</v>
      </c>
      <c r="AA12" s="28">
        <v>1.9054152071475983E-2</v>
      </c>
      <c r="AB12" s="26">
        <v>1.002817414700985E-2</v>
      </c>
      <c r="AE12" s="24">
        <v>1.138620194979012E-3</v>
      </c>
    </row>
    <row r="13" spans="1:32">
      <c r="A13" t="s">
        <v>83</v>
      </c>
      <c r="B13">
        <v>2</v>
      </c>
      <c r="C13">
        <v>0.22457516193389893</v>
      </c>
      <c r="D13" s="34">
        <v>1.6190690919756889E-2</v>
      </c>
      <c r="I13" s="24">
        <v>1.9132221350446343E-3</v>
      </c>
      <c r="M13" s="28">
        <v>1.9928839057683945E-2</v>
      </c>
      <c r="N13" s="140">
        <v>0.14839674532413483</v>
      </c>
      <c r="O13" s="26">
        <v>1.0381303727626801E-2</v>
      </c>
      <c r="P13" s="160">
        <v>1.0062141418457031</v>
      </c>
      <c r="R13" s="91">
        <v>0.52426791191101074</v>
      </c>
      <c r="S13" s="24">
        <v>1.4623324386775494E-4</v>
      </c>
      <c r="T13" s="25">
        <v>3.5431785508990288E-3</v>
      </c>
      <c r="U13" s="29">
        <v>8.2340985536575317E-3</v>
      </c>
      <c r="V13" s="24">
        <v>1.2892067388747819E-5</v>
      </c>
      <c r="W13" s="24">
        <v>1.560671254992485E-3</v>
      </c>
      <c r="Y13" s="24">
        <v>1.9127574341837317E-4</v>
      </c>
      <c r="Z13" s="34">
        <v>1.3989943079650402E-2</v>
      </c>
      <c r="AA13" s="25">
        <v>4.7070039436221123E-3</v>
      </c>
      <c r="AB13" s="34">
        <v>1.461600698530674E-2</v>
      </c>
      <c r="AC13" s="24">
        <v>5.7779643611866049E-6</v>
      </c>
      <c r="AE13" s="24">
        <v>1.1251068208366632E-3</v>
      </c>
    </row>
    <row r="14" spans="1:32">
      <c r="A14" t="s">
        <v>84</v>
      </c>
      <c r="B14">
        <v>5</v>
      </c>
      <c r="C14">
        <v>0.44193953275680542</v>
      </c>
      <c r="D14" s="37">
        <v>6.4499169588088989E-2</v>
      </c>
      <c r="M14" s="50">
        <v>0.22070057690143585</v>
      </c>
      <c r="N14" s="154">
        <v>1.1377451419830322</v>
      </c>
      <c r="O14" s="89">
        <v>0.4981904923915863</v>
      </c>
      <c r="P14" s="155">
        <v>1.1729737520217896</v>
      </c>
      <c r="R14" s="152">
        <v>0.94791340827941895</v>
      </c>
      <c r="Y14" s="24">
        <v>5.7771004503592849E-4</v>
      </c>
      <c r="Z14" s="35">
        <v>0.12114879488945007</v>
      </c>
      <c r="AA14" s="30">
        <v>5.6866247206926346E-2</v>
      </c>
      <c r="AB14" s="139">
        <v>0.33744525909423828</v>
      </c>
    </row>
    <row r="15" spans="1:32">
      <c r="A15" t="s">
        <v>85</v>
      </c>
      <c r="B15">
        <v>2</v>
      </c>
      <c r="C15">
        <v>0.23823678493499756</v>
      </c>
      <c r="M15" s="29">
        <v>9.5552485436201096E-3</v>
      </c>
      <c r="N15" s="34">
        <v>1.6707653179764748E-2</v>
      </c>
      <c r="O15" s="34">
        <v>1.5019845217466354E-2</v>
      </c>
      <c r="P15" s="78">
        <v>0.53456836938858032</v>
      </c>
      <c r="R15" s="151">
        <v>0.80999982357025146</v>
      </c>
      <c r="Y15" s="25">
        <v>3.1594110187143087E-3</v>
      </c>
      <c r="Z15" s="90">
        <v>0.14121550321578979</v>
      </c>
      <c r="AA15" s="66">
        <v>0.20588898658752441</v>
      </c>
      <c r="AB15" s="30">
        <v>2.3755643516778946E-2</v>
      </c>
      <c r="AE15" s="24">
        <v>1.8928184872493148E-3</v>
      </c>
    </row>
    <row r="16" spans="1:32">
      <c r="A16" t="s">
        <v>60</v>
      </c>
      <c r="B16">
        <v>2</v>
      </c>
      <c r="C16">
        <v>0.30408799648284912</v>
      </c>
      <c r="D16" s="25">
        <v>2.5444442871958017E-3</v>
      </c>
      <c r="S16" s="25">
        <v>2.7012426871806383E-3</v>
      </c>
      <c r="W16" s="82">
        <v>0.42412969470024109</v>
      </c>
      <c r="Y16" s="29">
        <v>7.732755970209837E-3</v>
      </c>
      <c r="Z16" s="134">
        <v>0.28066137433052063</v>
      </c>
      <c r="AA16" s="81">
        <v>0.31715217232704163</v>
      </c>
      <c r="AB16" s="138">
        <v>0.66099035739898682</v>
      </c>
    </row>
    <row r="17" spans="1:32">
      <c r="A17" t="s">
        <v>86</v>
      </c>
      <c r="B17">
        <v>15</v>
      </c>
      <c r="C17">
        <v>3.3052279949188232</v>
      </c>
      <c r="D17" s="68">
        <v>0.47535771131515503</v>
      </c>
      <c r="J17" s="87">
        <v>3.0020208358764648</v>
      </c>
      <c r="T17" s="147">
        <v>2.4799602031707764</v>
      </c>
      <c r="U17" s="94">
        <v>4.5724987983703613</v>
      </c>
      <c r="V17" s="25">
        <v>2.39259023219347E-2</v>
      </c>
      <c r="W17" s="133">
        <v>0.97098058462142944</v>
      </c>
      <c r="X17" s="24">
        <v>6.3625453040003777E-3</v>
      </c>
      <c r="Y17" s="24">
        <v>2.2128715645521879E-3</v>
      </c>
      <c r="AA17" s="29">
        <v>5.8993328362703323E-2</v>
      </c>
      <c r="AB17" s="26">
        <v>0.10245876014232635</v>
      </c>
    </row>
    <row r="18" spans="1:32">
      <c r="A18" t="s">
        <v>87</v>
      </c>
      <c r="B18">
        <v>0.3449999988079071</v>
      </c>
      <c r="C18">
        <v>3.9491266012191772E-2</v>
      </c>
      <c r="D18" s="26">
        <v>1.9963944796472788E-3</v>
      </c>
      <c r="J18" s="93">
        <v>6.3039027154445648E-2</v>
      </c>
      <c r="W18" s="28">
        <v>3.7071804981678724E-3</v>
      </c>
      <c r="Y18" s="141">
        <v>2.6765443384647369E-2</v>
      </c>
      <c r="Z18" s="145">
        <v>3.0920160934329033E-2</v>
      </c>
      <c r="AA18" s="83">
        <v>2.5157028809189796E-2</v>
      </c>
      <c r="AB18" s="148">
        <v>0.106582872569561</v>
      </c>
      <c r="AC18" s="24">
        <v>3.3351354068145156E-4</v>
      </c>
      <c r="AD18" s="24">
        <v>8.1342310295440257E-5</v>
      </c>
      <c r="AE18" s="38">
        <v>7.3912739753723145E-3</v>
      </c>
      <c r="AF18" s="92">
        <v>3.9534479379653931E-2</v>
      </c>
    </row>
    <row r="19" spans="1:32">
      <c r="A19" t="s">
        <v>88</v>
      </c>
      <c r="B19">
        <v>0.9570000171661377</v>
      </c>
      <c r="C19">
        <v>4.5414619147777557E-2</v>
      </c>
      <c r="D19" s="29">
        <v>3.1564245000481606E-3</v>
      </c>
      <c r="J19" s="143">
        <v>0.35163336992263794</v>
      </c>
      <c r="W19" s="73">
        <v>5.8158978819847107E-2</v>
      </c>
      <c r="Y19" s="39">
        <v>2.8511838987469673E-2</v>
      </c>
      <c r="Z19" s="29">
        <v>3.9198515005409718E-3</v>
      </c>
      <c r="AA19" s="26">
        <v>5.3154006600379944E-3</v>
      </c>
      <c r="AB19" s="142">
        <v>0.14770734310150146</v>
      </c>
      <c r="AC19" s="25">
        <v>1.7656072741374373E-3</v>
      </c>
      <c r="AD19" s="26">
        <v>6.2261768616735935E-3</v>
      </c>
      <c r="AE19" s="34">
        <v>6.9879190996289253E-3</v>
      </c>
      <c r="AF19" s="86">
        <v>0.29820245504379272</v>
      </c>
    </row>
    <row r="20" spans="1:32">
      <c r="A20" t="s">
        <v>89</v>
      </c>
      <c r="B20">
        <v>0.94999998807907104</v>
      </c>
      <c r="C20">
        <v>9.592583030462265E-2</v>
      </c>
      <c r="D20" s="44">
        <v>2.6259113103151321E-2</v>
      </c>
      <c r="J20" s="47">
        <v>6.4338870346546173E-2</v>
      </c>
      <c r="W20" s="72">
        <v>0.21172881126403809</v>
      </c>
      <c r="Y20" s="139">
        <v>6.2866941094398499E-2</v>
      </c>
      <c r="Z20" s="67">
        <v>3.3359117805957794E-2</v>
      </c>
      <c r="AA20" s="46">
        <v>4.9759224057197571E-2</v>
      </c>
      <c r="AB20" s="69">
        <v>5.8923467993736267E-2</v>
      </c>
      <c r="AC20" s="29">
        <v>3.0234940350055695E-3</v>
      </c>
      <c r="AD20" s="24">
        <v>1.5731525490991771E-4</v>
      </c>
      <c r="AE20" s="29">
        <v>4.4601974077522755E-3</v>
      </c>
      <c r="AF20" s="144">
        <v>0.33919763565063477</v>
      </c>
    </row>
    <row r="21" spans="1:32">
      <c r="A21" t="s">
        <v>90</v>
      </c>
      <c r="B21">
        <v>0.42500001192092896</v>
      </c>
      <c r="C21">
        <v>0.13773521780967712</v>
      </c>
      <c r="D21" s="127">
        <v>5.3920000791549683E-2</v>
      </c>
      <c r="J21" s="39">
        <v>1.2084935791790485E-2</v>
      </c>
      <c r="W21" s="29">
        <v>1.3880609767511487E-3</v>
      </c>
      <c r="Y21" s="133">
        <v>2.7837922796607018E-2</v>
      </c>
      <c r="AB21" s="136">
        <v>0.17846739292144775</v>
      </c>
      <c r="AC21" s="24">
        <v>9.2500602477230132E-5</v>
      </c>
      <c r="AE21" s="25">
        <v>9.7565317992120981E-4</v>
      </c>
      <c r="AF21" s="39">
        <v>1.2498319149017334E-2</v>
      </c>
    </row>
    <row r="22" spans="1:32">
      <c r="A22" t="s">
        <v>91</v>
      </c>
      <c r="B22">
        <v>0.45899999141693115</v>
      </c>
      <c r="C22">
        <v>5.1361948251724243E-2</v>
      </c>
      <c r="D22" s="128">
        <v>0.35291096568107605</v>
      </c>
      <c r="Y22" s="79">
        <v>2.6217222213745117E-2</v>
      </c>
      <c r="AB22" s="70">
        <v>1.6977492719888687E-2</v>
      </c>
      <c r="AC22" s="38">
        <v>9.820268489420414E-3</v>
      </c>
      <c r="AF22" s="29">
        <v>1.7120986012741923E-3</v>
      </c>
    </row>
    <row r="23" spans="1:32">
      <c r="A23" t="s">
        <v>92</v>
      </c>
      <c r="B23">
        <v>0.44999998807907104</v>
      </c>
      <c r="C23">
        <v>4.8924162983894348E-2</v>
      </c>
      <c r="D23" s="42">
        <v>1.8468093127012253E-2</v>
      </c>
      <c r="N23" s="74">
        <v>4.2432006448507309E-2</v>
      </c>
      <c r="P23" s="146">
        <v>0.13123753666877747</v>
      </c>
      <c r="R23" s="66">
        <v>4.6789757907390594E-2</v>
      </c>
      <c r="U23" s="37">
        <v>5.9578339569270611E-3</v>
      </c>
      <c r="Y23" s="41">
        <v>1.4904480427503586E-2</v>
      </c>
      <c r="Z23" s="142">
        <v>6.9920003414154053E-2</v>
      </c>
      <c r="AA23" s="139">
        <v>2.9940938577055931E-2</v>
      </c>
      <c r="AB23" s="43">
        <v>4.1167449206113815E-2</v>
      </c>
      <c r="AC23" s="24">
        <v>2.5773217203095555E-4</v>
      </c>
    </row>
    <row r="24" spans="1:32">
      <c r="A24" t="s">
        <v>93</v>
      </c>
      <c r="B24">
        <v>0.44999998807907104</v>
      </c>
      <c r="C24">
        <v>4.2347840964794159E-2</v>
      </c>
      <c r="D24" s="129">
        <v>0.15486770868301392</v>
      </c>
      <c r="N24" s="140">
        <v>3.3876508474349976E-2</v>
      </c>
      <c r="P24" s="85">
        <v>8.6286388337612152E-2</v>
      </c>
      <c r="R24" s="43">
        <v>4.1506242007017136E-2</v>
      </c>
      <c r="U24" s="36">
        <v>7.9276096075773239E-3</v>
      </c>
      <c r="Y24" s="26">
        <v>2.8331703506410122E-3</v>
      </c>
      <c r="Z24" s="141">
        <v>3.550092875957489E-2</v>
      </c>
      <c r="AA24" s="34">
        <v>3.320000134408474E-3</v>
      </c>
      <c r="AB24" s="38">
        <v>1.00907227024436E-2</v>
      </c>
      <c r="AC24" s="25">
        <v>5.5139930918812752E-4</v>
      </c>
      <c r="AF24" s="47">
        <v>3.0891457572579384E-2</v>
      </c>
    </row>
    <row r="25" spans="1:32">
      <c r="A25" t="s">
        <v>94</v>
      </c>
      <c r="B25">
        <v>0.48600000143051147</v>
      </c>
      <c r="C25">
        <v>5.3199354559183121E-2</v>
      </c>
      <c r="D25" s="130">
        <v>7.082405686378479E-2</v>
      </c>
      <c r="P25" s="24">
        <v>7.553010800620541E-5</v>
      </c>
      <c r="R25" s="24">
        <v>7.6297537816572003E-6</v>
      </c>
      <c r="U25" s="75">
        <v>5.3379770368337631E-2</v>
      </c>
      <c r="Y25" s="137">
        <v>2.4489933624863625E-2</v>
      </c>
      <c r="Z25" s="47">
        <v>3.3754374831914902E-2</v>
      </c>
      <c r="AA25" s="133">
        <v>3.1785853207111359E-2</v>
      </c>
      <c r="AB25" s="88">
        <v>0.18990592658519745</v>
      </c>
      <c r="AC25" s="25">
        <v>7.4165279511362314E-4</v>
      </c>
      <c r="AF25" s="79">
        <v>2.7835899963974953E-2</v>
      </c>
    </row>
    <row r="26" spans="1:32">
      <c r="A26" t="s">
        <v>95</v>
      </c>
      <c r="B26">
        <v>0.10199999809265137</v>
      </c>
      <c r="C26">
        <v>1.0273621417582035E-2</v>
      </c>
      <c r="D26" s="76">
        <v>8.4249421954154968E-2</v>
      </c>
      <c r="AC26" s="83">
        <v>7.4769537895917892E-3</v>
      </c>
    </row>
    <row r="27" spans="1:32">
      <c r="A27" t="s">
        <v>97</v>
      </c>
      <c r="B27">
        <v>0.68300002813339233</v>
      </c>
      <c r="C27">
        <v>0.39862468838691711</v>
      </c>
      <c r="D27" s="131">
        <v>0.23181816935539246</v>
      </c>
      <c r="AC27" s="80">
        <v>5.2557151764631271E-2</v>
      </c>
    </row>
    <row r="28" spans="1:32">
      <c r="A28" t="s">
        <v>73</v>
      </c>
      <c r="B28">
        <v>3.7999998778104782E-2</v>
      </c>
      <c r="C28">
        <v>3.744540736079216E-2</v>
      </c>
      <c r="D28" s="24">
        <v>2.9976018112165548E-8</v>
      </c>
      <c r="AC28" s="37">
        <v>5.5455986876040697E-4</v>
      </c>
    </row>
    <row r="29" spans="1:32">
      <c r="A29" t="s">
        <v>74</v>
      </c>
      <c r="B29">
        <v>3.9999999105930328E-2</v>
      </c>
      <c r="C29">
        <v>8.0511663109064102E-3</v>
      </c>
      <c r="D29" s="24">
        <v>9.0265487528995436E-8</v>
      </c>
      <c r="AC29" s="71">
        <v>4.2975936084985733E-3</v>
      </c>
      <c r="AF29" s="132">
        <v>2.7651149779558182E-2</v>
      </c>
    </row>
    <row r="30" spans="1:32">
      <c r="A30" t="s">
        <v>75</v>
      </c>
      <c r="C30">
        <v>9.0499943325994536E-6</v>
      </c>
      <c r="AC30" s="25">
        <v>7.168795564211905E-4</v>
      </c>
    </row>
    <row r="31" spans="1:32">
      <c r="A31" t="s">
        <v>98</v>
      </c>
      <c r="C31">
        <v>3.6965126637369394E-3</v>
      </c>
      <c r="M31" s="22">
        <v>1.1964176893234253</v>
      </c>
      <c r="N31" s="22">
        <v>2.0559055805206299</v>
      </c>
      <c r="O31" s="22">
        <v>0.8309817910194397</v>
      </c>
      <c r="P31" s="22">
        <v>7.0652122497558594</v>
      </c>
      <c r="R31" s="22">
        <v>3.4257590770721436</v>
      </c>
      <c r="S31" s="22">
        <v>2.7912842109799385E-2</v>
      </c>
      <c r="Z31" s="22">
        <v>4.6309128403663635E-2</v>
      </c>
      <c r="AA31" s="22">
        <v>3.1398069113492966E-2</v>
      </c>
    </row>
  </sheetData>
  <phoneticPr fontId="2" type="noConversion"/>
  <pageMargins left="0.75" right="0.75" top="1" bottom="1" header="0.5" footer="0.5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READ ME</vt:lpstr>
      <vt:lpstr>Main</vt:lpstr>
      <vt:lpstr>Diets</vt:lpstr>
      <vt:lpstr>Detritus</vt:lpstr>
      <vt:lpstr>Fishing</vt:lpstr>
      <vt:lpstr>Discards</vt:lpstr>
      <vt:lpstr>Pedigree</vt:lpstr>
      <vt:lpstr>Stanzas</vt:lpstr>
      <vt:lpstr>MainOutputs</vt:lpstr>
      <vt:lpstr>Mortalities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Sarah</cp:lastModifiedBy>
  <cp:lastPrinted>2003-08-05T17:15:48Z</cp:lastPrinted>
  <dcterms:created xsi:type="dcterms:W3CDTF">1996-10-14T23:33:28Z</dcterms:created>
  <dcterms:modified xsi:type="dcterms:W3CDTF">2018-06-05T15:25:39Z</dcterms:modified>
</cp:coreProperties>
</file>